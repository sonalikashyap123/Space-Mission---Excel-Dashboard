
<file path=[Content_Types].xml><?xml version="1.0" encoding="utf-8"?>
<Types xmlns="http://schemas.openxmlformats.org/package/2006/content-types">
  <Default Extension="avif" ContentType="image/avif"/>
  <Default Extension="bin" ContentType="application/vnd.openxmlformats-officedocument.spreadsheetml.printerSettings"/>
  <Default Extension="gif" ContentType="image/gif"/>
  <Default Extension="jpeg" ContentType="image/jpeg"/>
  <Default Extension="jpg" ContentType="image/unknown"/>
  <Default Extension="png" ContentType="image/png"/>
  <Default Extension="rels" ContentType="application/vnd.openxmlformats-package.relationships+xml"/>
  <Default Extension="webp" ContentType="image/webp"/>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C:\Users\SONALI\Desktop\"/>
    </mc:Choice>
  </mc:AlternateContent>
  <xr:revisionPtr revIDLastSave="0" documentId="8_{6A405264-F5AA-4EDE-A547-B0932825920D}" xr6:coauthVersionLast="47" xr6:coauthVersionMax="47" xr10:uidLastSave="{00000000-0000-0000-0000-000000000000}"/>
  <bookViews>
    <workbookView xWindow="-108" yWindow="-108" windowWidth="23256" windowHeight="12456" activeTab="2" xr2:uid="{00000000-000D-0000-FFFF-FFFF00000000}"/>
  </bookViews>
  <sheets>
    <sheet name="Space_Missions" sheetId="1" r:id="rId1"/>
    <sheet name="Pivot Table" sheetId="2" r:id="rId2"/>
    <sheet name="DASHBOARD" sheetId="5" r:id="rId3"/>
  </sheets>
  <definedNames>
    <definedName name="Slicer_Agency">#N/A</definedName>
    <definedName name="Slicer_Country">#N/A</definedName>
    <definedName name="Slicer_Launch_Status">#N/A</definedName>
    <definedName name="Slicer_Missio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2" l="1"/>
  <c r="D2" i="2"/>
  <c r="C2" i="2"/>
  <c r="B2" i="2"/>
  <c r="A2" i="2"/>
</calcChain>
</file>

<file path=xl/sharedStrings.xml><?xml version="1.0" encoding="utf-8"?>
<sst xmlns="http://schemas.openxmlformats.org/spreadsheetml/2006/main" count="13307" uniqueCount="2494">
  <si>
    <t>Mission_ID</t>
  </si>
  <si>
    <t>Mission_Name</t>
  </si>
  <si>
    <t>Agency</t>
  </si>
  <si>
    <t>Country</t>
  </si>
  <si>
    <t>Launch_Date</t>
  </si>
  <si>
    <t>Launch_Site</t>
  </si>
  <si>
    <t>Rocket</t>
  </si>
  <si>
    <t>Mission_Type</t>
  </si>
  <si>
    <t>Destination</t>
  </si>
  <si>
    <t>Crew_Size</t>
  </si>
  <si>
    <t>Mission_Duration_Days</t>
  </si>
  <si>
    <t>Budget_Million_USD</t>
  </si>
  <si>
    <t>Payload_kg</t>
  </si>
  <si>
    <t>Launch_Status</t>
  </si>
  <si>
    <t>Mission_Status</t>
  </si>
  <si>
    <t>Orbit_Type</t>
  </si>
  <si>
    <t>Scientific_Experiments</t>
  </si>
  <si>
    <t>Data_Collected_TB</t>
  </si>
  <si>
    <t>SM-00001</t>
  </si>
  <si>
    <t>Mission_1</t>
  </si>
  <si>
    <t>CNSA</t>
  </si>
  <si>
    <t>Russia</t>
  </si>
  <si>
    <t>Sriharikota</t>
  </si>
  <si>
    <t>H3</t>
  </si>
  <si>
    <t>ISS Resupply</t>
  </si>
  <si>
    <t>GEO</t>
  </si>
  <si>
    <t>Success</t>
  </si>
  <si>
    <t>Completed</t>
  </si>
  <si>
    <t>Transfer Orbit</t>
  </si>
  <si>
    <t>SM-00002</t>
  </si>
  <si>
    <t>Mission_2</t>
  </si>
  <si>
    <t>ESA</t>
  </si>
  <si>
    <t>India</t>
  </si>
  <si>
    <t>Long March 5</t>
  </si>
  <si>
    <t>Mars</t>
  </si>
  <si>
    <t>Asteroid Belt</t>
  </si>
  <si>
    <t>Partial Success</t>
  </si>
  <si>
    <t>Active</t>
  </si>
  <si>
    <t>MEO</t>
  </si>
  <si>
    <t>SM-00003</t>
  </si>
  <si>
    <t>Mission_3</t>
  </si>
  <si>
    <t>ISRO</t>
  </si>
  <si>
    <t>USA</t>
  </si>
  <si>
    <t>Kennedy</t>
  </si>
  <si>
    <t>Soyuz</t>
  </si>
  <si>
    <t>Sun-Synchronous</t>
  </si>
  <si>
    <t>SM-00004</t>
  </si>
  <si>
    <t>Mission_4</t>
  </si>
  <si>
    <t>Tanegashima</t>
  </si>
  <si>
    <t>GSLV Mk III</t>
  </si>
  <si>
    <t>Earth Observation</t>
  </si>
  <si>
    <t>LEO</t>
  </si>
  <si>
    <t>Polar</t>
  </si>
  <si>
    <t>SM-00005</t>
  </si>
  <si>
    <t>Mission_5</t>
  </si>
  <si>
    <t>Deep Space</t>
  </si>
  <si>
    <t>Extended</t>
  </si>
  <si>
    <t>SM-00006</t>
  </si>
  <si>
    <t>Mission_6</t>
  </si>
  <si>
    <t>China</t>
  </si>
  <si>
    <t>Kourou</t>
  </si>
  <si>
    <t>Failure</t>
  </si>
  <si>
    <t>Planned</t>
  </si>
  <si>
    <t>SM-00007</t>
  </si>
  <si>
    <t>Mission_7</t>
  </si>
  <si>
    <t>Jiuquan</t>
  </si>
  <si>
    <t>SM-00008</t>
  </si>
  <si>
    <t>Mission_8</t>
  </si>
  <si>
    <t>NASA</t>
  </si>
  <si>
    <t>Baikonur</t>
  </si>
  <si>
    <t>Satellite</t>
  </si>
  <si>
    <t>SM-00009</t>
  </si>
  <si>
    <t>Mission_9</t>
  </si>
  <si>
    <t>SM-00010</t>
  </si>
  <si>
    <t>Mission_10</t>
  </si>
  <si>
    <t>Lunar</t>
  </si>
  <si>
    <t>Moon</t>
  </si>
  <si>
    <t>SM-00011</t>
  </si>
  <si>
    <t>Mission_11</t>
  </si>
  <si>
    <t>JAXA</t>
  </si>
  <si>
    <t>SM-00012</t>
  </si>
  <si>
    <t>Mission_12</t>
  </si>
  <si>
    <t>Japan</t>
  </si>
  <si>
    <t>Falcon 9</t>
  </si>
  <si>
    <t>SM-00013</t>
  </si>
  <si>
    <t>Mission_13</t>
  </si>
  <si>
    <t>SM-00014</t>
  </si>
  <si>
    <t>Mission_14</t>
  </si>
  <si>
    <t>SM-00015</t>
  </si>
  <si>
    <t>Mission_15</t>
  </si>
  <si>
    <t>SM-00016</t>
  </si>
  <si>
    <t>Mission_16</t>
  </si>
  <si>
    <t>ISS</t>
  </si>
  <si>
    <t>SM-00017</t>
  </si>
  <si>
    <t>Mission_17</t>
  </si>
  <si>
    <t>SM-00018</t>
  </si>
  <si>
    <t>Mission_18</t>
  </si>
  <si>
    <t>SpaceX</t>
  </si>
  <si>
    <t>SM-00019</t>
  </si>
  <si>
    <t>Mission_19</t>
  </si>
  <si>
    <t>SM-00020</t>
  </si>
  <si>
    <t>Mission_20</t>
  </si>
  <si>
    <t>Ariane 6</t>
  </si>
  <si>
    <t>SM-00021</t>
  </si>
  <si>
    <t>Mission_21</t>
  </si>
  <si>
    <t>SM-00022</t>
  </si>
  <si>
    <t>Mission_22</t>
  </si>
  <si>
    <t>SM-00023</t>
  </si>
  <si>
    <t>Mission_23</t>
  </si>
  <si>
    <t>France</t>
  </si>
  <si>
    <t>SM-00024</t>
  </si>
  <si>
    <t>Mission_24</t>
  </si>
  <si>
    <t>SM-00025</t>
  </si>
  <si>
    <t>Mission_25</t>
  </si>
  <si>
    <t>SM-00026</t>
  </si>
  <si>
    <t>Mission_26</t>
  </si>
  <si>
    <t>Roscosmos</t>
  </si>
  <si>
    <t>SM-00027</t>
  </si>
  <si>
    <t>Mission_27</t>
  </si>
  <si>
    <t>SM-00028</t>
  </si>
  <si>
    <t>Mission_28</t>
  </si>
  <si>
    <t>SM-00029</t>
  </si>
  <si>
    <t>Mission_29</t>
  </si>
  <si>
    <t>SM-00030</t>
  </si>
  <si>
    <t>Mission_30</t>
  </si>
  <si>
    <t>SM-00031</t>
  </si>
  <si>
    <t>Mission_31</t>
  </si>
  <si>
    <t>SM-00032</t>
  </si>
  <si>
    <t>Mission_32</t>
  </si>
  <si>
    <t>SM-00033</t>
  </si>
  <si>
    <t>Mission_33</t>
  </si>
  <si>
    <t>SM-00034</t>
  </si>
  <si>
    <t>Mission_34</t>
  </si>
  <si>
    <t>SM-00035</t>
  </si>
  <si>
    <t>Mission_35</t>
  </si>
  <si>
    <t>SM-00036</t>
  </si>
  <si>
    <t>Mission_36</t>
  </si>
  <si>
    <t>SM-00037</t>
  </si>
  <si>
    <t>Mission_37</t>
  </si>
  <si>
    <t>SM-00038</t>
  </si>
  <si>
    <t>Mission_38</t>
  </si>
  <si>
    <t>SM-00039</t>
  </si>
  <si>
    <t>Mission_39</t>
  </si>
  <si>
    <t>SM-00040</t>
  </si>
  <si>
    <t>Mission_40</t>
  </si>
  <si>
    <t>SM-00041</t>
  </si>
  <si>
    <t>Mission_41</t>
  </si>
  <si>
    <t>SM-00042</t>
  </si>
  <si>
    <t>Mission_42</t>
  </si>
  <si>
    <t>SM-00043</t>
  </si>
  <si>
    <t>Mission_43</t>
  </si>
  <si>
    <t>SM-00044</t>
  </si>
  <si>
    <t>Mission_44</t>
  </si>
  <si>
    <t>SM-00045</t>
  </si>
  <si>
    <t>Mission_45</t>
  </si>
  <si>
    <t>SM-00046</t>
  </si>
  <si>
    <t>Mission_46</t>
  </si>
  <si>
    <t>SM-00047</t>
  </si>
  <si>
    <t>Mission_47</t>
  </si>
  <si>
    <t>SM-00048</t>
  </si>
  <si>
    <t>Mission_48</t>
  </si>
  <si>
    <t>SM-00049</t>
  </si>
  <si>
    <t>Mission_49</t>
  </si>
  <si>
    <t>SM-00050</t>
  </si>
  <si>
    <t>Mission_50</t>
  </si>
  <si>
    <t>SM-00051</t>
  </si>
  <si>
    <t>Mission_51</t>
  </si>
  <si>
    <t>SM-00052</t>
  </si>
  <si>
    <t>Mission_52</t>
  </si>
  <si>
    <t>SM-00053</t>
  </si>
  <si>
    <t>Mission_53</t>
  </si>
  <si>
    <t>SM-00054</t>
  </si>
  <si>
    <t>Mission_54</t>
  </si>
  <si>
    <t>SM-00055</t>
  </si>
  <si>
    <t>Mission_55</t>
  </si>
  <si>
    <t>SM-00056</t>
  </si>
  <si>
    <t>Mission_56</t>
  </si>
  <si>
    <t>SM-00057</t>
  </si>
  <si>
    <t>Mission_57</t>
  </si>
  <si>
    <t>SM-00058</t>
  </si>
  <si>
    <t>Mission_58</t>
  </si>
  <si>
    <t>SM-00059</t>
  </si>
  <si>
    <t>Mission_59</t>
  </si>
  <si>
    <t>SM-00060</t>
  </si>
  <si>
    <t>Mission_60</t>
  </si>
  <si>
    <t>SM-00061</t>
  </si>
  <si>
    <t>Mission_61</t>
  </si>
  <si>
    <t>SM-00062</t>
  </si>
  <si>
    <t>Mission_62</t>
  </si>
  <si>
    <t>SM-00063</t>
  </si>
  <si>
    <t>Mission_63</t>
  </si>
  <si>
    <t>SM-00064</t>
  </si>
  <si>
    <t>Mission_64</t>
  </si>
  <si>
    <t>SM-00065</t>
  </si>
  <si>
    <t>Mission_65</t>
  </si>
  <si>
    <t>SM-00066</t>
  </si>
  <si>
    <t>Mission_66</t>
  </si>
  <si>
    <t>SM-00067</t>
  </si>
  <si>
    <t>Mission_67</t>
  </si>
  <si>
    <t>SM-00068</t>
  </si>
  <si>
    <t>Mission_68</t>
  </si>
  <si>
    <t>SM-00069</t>
  </si>
  <si>
    <t>Mission_69</t>
  </si>
  <si>
    <t>SM-00070</t>
  </si>
  <si>
    <t>Mission_70</t>
  </si>
  <si>
    <t>SM-00071</t>
  </si>
  <si>
    <t>Mission_71</t>
  </si>
  <si>
    <t>SM-00072</t>
  </si>
  <si>
    <t>Mission_72</t>
  </si>
  <si>
    <t>SM-00073</t>
  </si>
  <si>
    <t>Mission_73</t>
  </si>
  <si>
    <t>SM-00074</t>
  </si>
  <si>
    <t>Mission_74</t>
  </si>
  <si>
    <t>SM-00075</t>
  </si>
  <si>
    <t>Mission_75</t>
  </si>
  <si>
    <t>SM-00076</t>
  </si>
  <si>
    <t>Mission_76</t>
  </si>
  <si>
    <t>SM-00077</t>
  </si>
  <si>
    <t>Mission_77</t>
  </si>
  <si>
    <t>SM-00078</t>
  </si>
  <si>
    <t>Mission_78</t>
  </si>
  <si>
    <t>SM-00079</t>
  </si>
  <si>
    <t>Mission_79</t>
  </si>
  <si>
    <t>SM-00080</t>
  </si>
  <si>
    <t>Mission_80</t>
  </si>
  <si>
    <t>SM-00081</t>
  </si>
  <si>
    <t>Mission_81</t>
  </si>
  <si>
    <t>SM-00082</t>
  </si>
  <si>
    <t>Mission_82</t>
  </si>
  <si>
    <t>SM-00083</t>
  </si>
  <si>
    <t>Mission_83</t>
  </si>
  <si>
    <t>SM-00084</t>
  </si>
  <si>
    <t>Mission_84</t>
  </si>
  <si>
    <t>SM-00085</t>
  </si>
  <si>
    <t>Mission_85</t>
  </si>
  <si>
    <t>SM-00086</t>
  </si>
  <si>
    <t>Mission_86</t>
  </si>
  <si>
    <t>SM-00087</t>
  </si>
  <si>
    <t>Mission_87</t>
  </si>
  <si>
    <t>SM-00088</t>
  </si>
  <si>
    <t>Mission_88</t>
  </si>
  <si>
    <t>SM-00089</t>
  </si>
  <si>
    <t>Mission_89</t>
  </si>
  <si>
    <t>SM-00090</t>
  </si>
  <si>
    <t>Mission_90</t>
  </si>
  <si>
    <t>SM-00091</t>
  </si>
  <si>
    <t>Mission_91</t>
  </si>
  <si>
    <t>SM-00092</t>
  </si>
  <si>
    <t>Mission_92</t>
  </si>
  <si>
    <t>SM-00093</t>
  </si>
  <si>
    <t>Mission_93</t>
  </si>
  <si>
    <t>SM-00094</t>
  </si>
  <si>
    <t>Mission_94</t>
  </si>
  <si>
    <t>SM-00095</t>
  </si>
  <si>
    <t>Mission_95</t>
  </si>
  <si>
    <t>SM-00096</t>
  </si>
  <si>
    <t>Mission_96</t>
  </si>
  <si>
    <t>SM-00097</t>
  </si>
  <si>
    <t>Mission_97</t>
  </si>
  <si>
    <t>SM-00098</t>
  </si>
  <si>
    <t>Mission_98</t>
  </si>
  <si>
    <t>SM-00099</t>
  </si>
  <si>
    <t>Mission_99</t>
  </si>
  <si>
    <t>SM-00100</t>
  </si>
  <si>
    <t>Mission_100</t>
  </si>
  <si>
    <t>SM-00101</t>
  </si>
  <si>
    <t>Mission_101</t>
  </si>
  <si>
    <t>SM-00102</t>
  </si>
  <si>
    <t>Mission_102</t>
  </si>
  <si>
    <t>SM-00103</t>
  </si>
  <si>
    <t>Mission_103</t>
  </si>
  <si>
    <t>SM-00104</t>
  </si>
  <si>
    <t>Mission_104</t>
  </si>
  <si>
    <t>SM-00105</t>
  </si>
  <si>
    <t>Mission_105</t>
  </si>
  <si>
    <t>SM-00106</t>
  </si>
  <si>
    <t>Mission_106</t>
  </si>
  <si>
    <t>SM-00107</t>
  </si>
  <si>
    <t>Mission_107</t>
  </si>
  <si>
    <t>SM-00108</t>
  </si>
  <si>
    <t>Mission_108</t>
  </si>
  <si>
    <t>SM-00109</t>
  </si>
  <si>
    <t>Mission_109</t>
  </si>
  <si>
    <t>SM-00110</t>
  </si>
  <si>
    <t>Mission_110</t>
  </si>
  <si>
    <t>SM-00111</t>
  </si>
  <si>
    <t>Mission_111</t>
  </si>
  <si>
    <t>SM-00112</t>
  </si>
  <si>
    <t>Mission_112</t>
  </si>
  <si>
    <t>SM-00113</t>
  </si>
  <si>
    <t>Mission_113</t>
  </si>
  <si>
    <t>SM-00114</t>
  </si>
  <si>
    <t>Mission_114</t>
  </si>
  <si>
    <t>SM-00115</t>
  </si>
  <si>
    <t>Mission_115</t>
  </si>
  <si>
    <t>SM-00116</t>
  </si>
  <si>
    <t>Mission_116</t>
  </si>
  <si>
    <t>SM-00117</t>
  </si>
  <si>
    <t>Mission_117</t>
  </si>
  <si>
    <t>SM-00118</t>
  </si>
  <si>
    <t>Mission_118</t>
  </si>
  <si>
    <t>SM-00119</t>
  </si>
  <si>
    <t>Mission_119</t>
  </si>
  <si>
    <t>SM-00120</t>
  </si>
  <si>
    <t>Mission_120</t>
  </si>
  <si>
    <t>SM-00121</t>
  </si>
  <si>
    <t>Mission_121</t>
  </si>
  <si>
    <t>SM-00122</t>
  </si>
  <si>
    <t>Mission_122</t>
  </si>
  <si>
    <t>SM-00123</t>
  </si>
  <si>
    <t>Mission_123</t>
  </si>
  <si>
    <t>SM-00124</t>
  </si>
  <si>
    <t>Mission_124</t>
  </si>
  <si>
    <t>SM-00125</t>
  </si>
  <si>
    <t>Mission_125</t>
  </si>
  <si>
    <t>SM-00126</t>
  </si>
  <si>
    <t>Mission_126</t>
  </si>
  <si>
    <t>SM-00127</t>
  </si>
  <si>
    <t>Mission_127</t>
  </si>
  <si>
    <t>SM-00128</t>
  </si>
  <si>
    <t>Mission_128</t>
  </si>
  <si>
    <t>SM-00129</t>
  </si>
  <si>
    <t>Mission_129</t>
  </si>
  <si>
    <t>SM-00130</t>
  </si>
  <si>
    <t>Mission_130</t>
  </si>
  <si>
    <t>SM-00131</t>
  </si>
  <si>
    <t>Mission_131</t>
  </si>
  <si>
    <t>SM-00132</t>
  </si>
  <si>
    <t>Mission_132</t>
  </si>
  <si>
    <t>SM-00133</t>
  </si>
  <si>
    <t>Mission_133</t>
  </si>
  <si>
    <t>SM-00134</t>
  </si>
  <si>
    <t>Mission_134</t>
  </si>
  <si>
    <t>SM-00135</t>
  </si>
  <si>
    <t>Mission_135</t>
  </si>
  <si>
    <t>SM-00136</t>
  </si>
  <si>
    <t>Mission_136</t>
  </si>
  <si>
    <t>SM-00137</t>
  </si>
  <si>
    <t>Mission_137</t>
  </si>
  <si>
    <t>SM-00138</t>
  </si>
  <si>
    <t>Mission_138</t>
  </si>
  <si>
    <t>SM-00139</t>
  </si>
  <si>
    <t>Mission_139</t>
  </si>
  <si>
    <t>SM-00140</t>
  </si>
  <si>
    <t>Mission_140</t>
  </si>
  <si>
    <t>SM-00141</t>
  </si>
  <si>
    <t>Mission_141</t>
  </si>
  <si>
    <t>SM-00142</t>
  </si>
  <si>
    <t>Mission_142</t>
  </si>
  <si>
    <t>SM-00143</t>
  </si>
  <si>
    <t>Mission_143</t>
  </si>
  <si>
    <t>SM-00144</t>
  </si>
  <si>
    <t>Mission_144</t>
  </si>
  <si>
    <t>SM-00145</t>
  </si>
  <si>
    <t>Mission_145</t>
  </si>
  <si>
    <t>SM-00146</t>
  </si>
  <si>
    <t>Mission_146</t>
  </si>
  <si>
    <t>SM-00147</t>
  </si>
  <si>
    <t>Mission_147</t>
  </si>
  <si>
    <t>SM-00148</t>
  </si>
  <si>
    <t>Mission_148</t>
  </si>
  <si>
    <t>SM-00149</t>
  </si>
  <si>
    <t>Mission_149</t>
  </si>
  <si>
    <t>SM-00150</t>
  </si>
  <si>
    <t>Mission_150</t>
  </si>
  <si>
    <t>SM-00151</t>
  </si>
  <si>
    <t>Mission_151</t>
  </si>
  <si>
    <t>SM-00152</t>
  </si>
  <si>
    <t>Mission_152</t>
  </si>
  <si>
    <t>SM-00153</t>
  </si>
  <si>
    <t>Mission_153</t>
  </si>
  <si>
    <t>SM-00154</t>
  </si>
  <si>
    <t>Mission_154</t>
  </si>
  <si>
    <t>SM-00155</t>
  </si>
  <si>
    <t>Mission_155</t>
  </si>
  <si>
    <t>SM-00156</t>
  </si>
  <si>
    <t>Mission_156</t>
  </si>
  <si>
    <t>SM-00157</t>
  </si>
  <si>
    <t>Mission_157</t>
  </si>
  <si>
    <t>SM-00158</t>
  </si>
  <si>
    <t>Mission_158</t>
  </si>
  <si>
    <t>SM-00159</t>
  </si>
  <si>
    <t>Mission_159</t>
  </si>
  <si>
    <t>SM-00160</t>
  </si>
  <si>
    <t>Mission_160</t>
  </si>
  <si>
    <t>SM-00161</t>
  </si>
  <si>
    <t>Mission_161</t>
  </si>
  <si>
    <t>SM-00162</t>
  </si>
  <si>
    <t>Mission_162</t>
  </si>
  <si>
    <t>SM-00163</t>
  </si>
  <si>
    <t>Mission_163</t>
  </si>
  <si>
    <t>SM-00164</t>
  </si>
  <si>
    <t>Mission_164</t>
  </si>
  <si>
    <t>SM-00165</t>
  </si>
  <si>
    <t>Mission_165</t>
  </si>
  <si>
    <t>SM-00166</t>
  </si>
  <si>
    <t>Mission_166</t>
  </si>
  <si>
    <t>SM-00167</t>
  </si>
  <si>
    <t>Mission_167</t>
  </si>
  <si>
    <t>SM-00168</t>
  </si>
  <si>
    <t>Mission_168</t>
  </si>
  <si>
    <t>SM-00169</t>
  </si>
  <si>
    <t>Mission_169</t>
  </si>
  <si>
    <t>SM-00170</t>
  </si>
  <si>
    <t>Mission_170</t>
  </si>
  <si>
    <t>SM-00171</t>
  </si>
  <si>
    <t>Mission_171</t>
  </si>
  <si>
    <t>SM-00172</t>
  </si>
  <si>
    <t>Mission_172</t>
  </si>
  <si>
    <t>SM-00173</t>
  </si>
  <si>
    <t>Mission_173</t>
  </si>
  <si>
    <t>SM-00174</t>
  </si>
  <si>
    <t>Mission_174</t>
  </si>
  <si>
    <t>SM-00175</t>
  </si>
  <si>
    <t>Mission_175</t>
  </si>
  <si>
    <t>SM-00176</t>
  </si>
  <si>
    <t>Mission_176</t>
  </si>
  <si>
    <t>SM-00177</t>
  </si>
  <si>
    <t>Mission_177</t>
  </si>
  <si>
    <t>SM-00178</t>
  </si>
  <si>
    <t>Mission_178</t>
  </si>
  <si>
    <t>SM-00179</t>
  </si>
  <si>
    <t>Mission_179</t>
  </si>
  <si>
    <t>SM-00180</t>
  </si>
  <si>
    <t>Mission_180</t>
  </si>
  <si>
    <t>SM-00181</t>
  </si>
  <si>
    <t>Mission_181</t>
  </si>
  <si>
    <t>SM-00182</t>
  </si>
  <si>
    <t>Mission_182</t>
  </si>
  <si>
    <t>SM-00183</t>
  </si>
  <si>
    <t>Mission_183</t>
  </si>
  <si>
    <t>SM-00184</t>
  </si>
  <si>
    <t>Mission_184</t>
  </si>
  <si>
    <t>SM-00185</t>
  </si>
  <si>
    <t>Mission_185</t>
  </si>
  <si>
    <t>SM-00186</t>
  </si>
  <si>
    <t>Mission_186</t>
  </si>
  <si>
    <t>SM-00187</t>
  </si>
  <si>
    <t>Mission_187</t>
  </si>
  <si>
    <t>SM-00188</t>
  </si>
  <si>
    <t>Mission_188</t>
  </si>
  <si>
    <t>SM-00189</t>
  </si>
  <si>
    <t>Mission_189</t>
  </si>
  <si>
    <t>SM-00190</t>
  </si>
  <si>
    <t>Mission_190</t>
  </si>
  <si>
    <t>SM-00191</t>
  </si>
  <si>
    <t>Mission_191</t>
  </si>
  <si>
    <t>SM-00192</t>
  </si>
  <si>
    <t>Mission_192</t>
  </si>
  <si>
    <t>SM-00193</t>
  </si>
  <si>
    <t>Mission_193</t>
  </si>
  <si>
    <t>SM-00194</t>
  </si>
  <si>
    <t>Mission_194</t>
  </si>
  <si>
    <t>SM-00195</t>
  </si>
  <si>
    <t>Mission_195</t>
  </si>
  <si>
    <t>SM-00196</t>
  </si>
  <si>
    <t>Mission_196</t>
  </si>
  <si>
    <t>SM-00197</t>
  </si>
  <si>
    <t>Mission_197</t>
  </si>
  <si>
    <t>SM-00198</t>
  </si>
  <si>
    <t>Mission_198</t>
  </si>
  <si>
    <t>SM-00199</t>
  </si>
  <si>
    <t>Mission_199</t>
  </si>
  <si>
    <t>SM-00200</t>
  </si>
  <si>
    <t>Mission_200</t>
  </si>
  <si>
    <t>SM-00201</t>
  </si>
  <si>
    <t>Mission_201</t>
  </si>
  <si>
    <t>SM-00202</t>
  </si>
  <si>
    <t>Mission_202</t>
  </si>
  <si>
    <t>SM-00203</t>
  </si>
  <si>
    <t>Mission_203</t>
  </si>
  <si>
    <t>SM-00204</t>
  </si>
  <si>
    <t>Mission_204</t>
  </si>
  <si>
    <t>SM-00205</t>
  </si>
  <si>
    <t>Mission_205</t>
  </si>
  <si>
    <t>SM-00206</t>
  </si>
  <si>
    <t>Mission_206</t>
  </si>
  <si>
    <t>SM-00207</t>
  </si>
  <si>
    <t>Mission_207</t>
  </si>
  <si>
    <t>SM-00208</t>
  </si>
  <si>
    <t>Mission_208</t>
  </si>
  <si>
    <t>SM-00209</t>
  </si>
  <si>
    <t>Mission_209</t>
  </si>
  <si>
    <t>SM-00210</t>
  </si>
  <si>
    <t>Mission_210</t>
  </si>
  <si>
    <t>SM-00211</t>
  </si>
  <si>
    <t>Mission_211</t>
  </si>
  <si>
    <t>SM-00212</t>
  </si>
  <si>
    <t>Mission_212</t>
  </si>
  <si>
    <t>SM-00213</t>
  </si>
  <si>
    <t>Mission_213</t>
  </si>
  <si>
    <t>SM-00214</t>
  </si>
  <si>
    <t>Mission_214</t>
  </si>
  <si>
    <t>SM-00215</t>
  </si>
  <si>
    <t>Mission_215</t>
  </si>
  <si>
    <t>SM-00216</t>
  </si>
  <si>
    <t>Mission_216</t>
  </si>
  <si>
    <t>SM-00217</t>
  </si>
  <si>
    <t>Mission_217</t>
  </si>
  <si>
    <t>SM-00218</t>
  </si>
  <si>
    <t>Mission_218</t>
  </si>
  <si>
    <t>SM-00219</t>
  </si>
  <si>
    <t>Mission_219</t>
  </si>
  <si>
    <t>SM-00220</t>
  </si>
  <si>
    <t>Mission_220</t>
  </si>
  <si>
    <t>SM-00221</t>
  </si>
  <si>
    <t>Mission_221</t>
  </si>
  <si>
    <t>SM-00222</t>
  </si>
  <si>
    <t>Mission_222</t>
  </si>
  <si>
    <t>SM-00223</t>
  </si>
  <si>
    <t>Mission_223</t>
  </si>
  <si>
    <t>SM-00224</t>
  </si>
  <si>
    <t>Mission_224</t>
  </si>
  <si>
    <t>SM-00225</t>
  </si>
  <si>
    <t>Mission_225</t>
  </si>
  <si>
    <t>SM-00226</t>
  </si>
  <si>
    <t>Mission_226</t>
  </si>
  <si>
    <t>SM-00227</t>
  </si>
  <si>
    <t>Mission_227</t>
  </si>
  <si>
    <t>SM-00228</t>
  </si>
  <si>
    <t>Mission_228</t>
  </si>
  <si>
    <t>SM-00229</t>
  </si>
  <si>
    <t>Mission_229</t>
  </si>
  <si>
    <t>SM-00230</t>
  </si>
  <si>
    <t>Mission_230</t>
  </si>
  <si>
    <t>SM-00231</t>
  </si>
  <si>
    <t>Mission_231</t>
  </si>
  <si>
    <t>SM-00232</t>
  </si>
  <si>
    <t>Mission_232</t>
  </si>
  <si>
    <t>SM-00233</t>
  </si>
  <si>
    <t>Mission_233</t>
  </si>
  <si>
    <t>SM-00234</t>
  </si>
  <si>
    <t>Mission_234</t>
  </si>
  <si>
    <t>SM-00235</t>
  </si>
  <si>
    <t>Mission_235</t>
  </si>
  <si>
    <t>SM-00236</t>
  </si>
  <si>
    <t>Mission_236</t>
  </si>
  <si>
    <t>SM-00237</t>
  </si>
  <si>
    <t>Mission_237</t>
  </si>
  <si>
    <t>SM-00238</t>
  </si>
  <si>
    <t>Mission_238</t>
  </si>
  <si>
    <t>SM-00239</t>
  </si>
  <si>
    <t>Mission_239</t>
  </si>
  <si>
    <t>SM-00240</t>
  </si>
  <si>
    <t>Mission_240</t>
  </si>
  <si>
    <t>SM-00241</t>
  </si>
  <si>
    <t>Mission_241</t>
  </si>
  <si>
    <t>SM-00242</t>
  </si>
  <si>
    <t>Mission_242</t>
  </si>
  <si>
    <t>SM-00243</t>
  </si>
  <si>
    <t>Mission_243</t>
  </si>
  <si>
    <t>SM-00244</t>
  </si>
  <si>
    <t>Mission_244</t>
  </si>
  <si>
    <t>SM-00245</t>
  </si>
  <si>
    <t>Mission_245</t>
  </si>
  <si>
    <t>SM-00246</t>
  </si>
  <si>
    <t>Mission_246</t>
  </si>
  <si>
    <t>SM-00247</t>
  </si>
  <si>
    <t>Mission_247</t>
  </si>
  <si>
    <t>SM-00248</t>
  </si>
  <si>
    <t>Mission_248</t>
  </si>
  <si>
    <t>SM-00249</t>
  </si>
  <si>
    <t>Mission_249</t>
  </si>
  <si>
    <t>SM-00250</t>
  </si>
  <si>
    <t>Mission_250</t>
  </si>
  <si>
    <t>SM-00251</t>
  </si>
  <si>
    <t>Mission_251</t>
  </si>
  <si>
    <t>SM-00252</t>
  </si>
  <si>
    <t>Mission_252</t>
  </si>
  <si>
    <t>SM-00253</t>
  </si>
  <si>
    <t>Mission_253</t>
  </si>
  <si>
    <t>SM-00254</t>
  </si>
  <si>
    <t>Mission_254</t>
  </si>
  <si>
    <t>SM-00255</t>
  </si>
  <si>
    <t>Mission_255</t>
  </si>
  <si>
    <t>SM-00256</t>
  </si>
  <si>
    <t>Mission_256</t>
  </si>
  <si>
    <t>SM-00257</t>
  </si>
  <si>
    <t>Mission_257</t>
  </si>
  <si>
    <t>SM-00258</t>
  </si>
  <si>
    <t>Mission_258</t>
  </si>
  <si>
    <t>SM-00259</t>
  </si>
  <si>
    <t>Mission_259</t>
  </si>
  <si>
    <t>SM-00260</t>
  </si>
  <si>
    <t>Mission_260</t>
  </si>
  <si>
    <t>SM-00261</t>
  </si>
  <si>
    <t>Mission_261</t>
  </si>
  <si>
    <t>SM-00262</t>
  </si>
  <si>
    <t>Mission_262</t>
  </si>
  <si>
    <t>SM-00263</t>
  </si>
  <si>
    <t>Mission_263</t>
  </si>
  <si>
    <t>SM-00264</t>
  </si>
  <si>
    <t>Mission_264</t>
  </si>
  <si>
    <t>SM-00265</t>
  </si>
  <si>
    <t>Mission_265</t>
  </si>
  <si>
    <t>SM-00266</t>
  </si>
  <si>
    <t>Mission_266</t>
  </si>
  <si>
    <t>SM-00267</t>
  </si>
  <si>
    <t>Mission_267</t>
  </si>
  <si>
    <t>SM-00268</t>
  </si>
  <si>
    <t>Mission_268</t>
  </si>
  <si>
    <t>SM-00269</t>
  </si>
  <si>
    <t>Mission_269</t>
  </si>
  <si>
    <t>SM-00270</t>
  </si>
  <si>
    <t>Mission_270</t>
  </si>
  <si>
    <t>SM-00271</t>
  </si>
  <si>
    <t>Mission_271</t>
  </si>
  <si>
    <t>SM-00272</t>
  </si>
  <si>
    <t>Mission_272</t>
  </si>
  <si>
    <t>SM-00273</t>
  </si>
  <si>
    <t>Mission_273</t>
  </si>
  <si>
    <t>SM-00274</t>
  </si>
  <si>
    <t>Mission_274</t>
  </si>
  <si>
    <t>SM-00275</t>
  </si>
  <si>
    <t>Mission_275</t>
  </si>
  <si>
    <t>SM-00276</t>
  </si>
  <si>
    <t>Mission_276</t>
  </si>
  <si>
    <t>SM-00277</t>
  </si>
  <si>
    <t>Mission_277</t>
  </si>
  <si>
    <t>SM-00278</t>
  </si>
  <si>
    <t>Mission_278</t>
  </si>
  <si>
    <t>SM-00279</t>
  </si>
  <si>
    <t>Mission_279</t>
  </si>
  <si>
    <t>SM-00280</t>
  </si>
  <si>
    <t>Mission_280</t>
  </si>
  <si>
    <t>SM-00281</t>
  </si>
  <si>
    <t>Mission_281</t>
  </si>
  <si>
    <t>SM-00282</t>
  </si>
  <si>
    <t>Mission_282</t>
  </si>
  <si>
    <t>SM-00283</t>
  </si>
  <si>
    <t>Mission_283</t>
  </si>
  <si>
    <t>SM-00284</t>
  </si>
  <si>
    <t>Mission_284</t>
  </si>
  <si>
    <t>SM-00285</t>
  </si>
  <si>
    <t>Mission_285</t>
  </si>
  <si>
    <t>SM-00286</t>
  </si>
  <si>
    <t>Mission_286</t>
  </si>
  <si>
    <t>SM-00287</t>
  </si>
  <si>
    <t>Mission_287</t>
  </si>
  <si>
    <t>SM-00288</t>
  </si>
  <si>
    <t>Mission_288</t>
  </si>
  <si>
    <t>SM-00289</t>
  </si>
  <si>
    <t>Mission_289</t>
  </si>
  <si>
    <t>SM-00290</t>
  </si>
  <si>
    <t>Mission_290</t>
  </si>
  <si>
    <t>SM-00291</t>
  </si>
  <si>
    <t>Mission_291</t>
  </si>
  <si>
    <t>SM-00292</t>
  </si>
  <si>
    <t>Mission_292</t>
  </si>
  <si>
    <t>SM-00293</t>
  </si>
  <si>
    <t>Mission_293</t>
  </si>
  <si>
    <t>SM-00294</t>
  </si>
  <si>
    <t>Mission_294</t>
  </si>
  <si>
    <t>SM-00295</t>
  </si>
  <si>
    <t>Mission_295</t>
  </si>
  <si>
    <t>SM-00296</t>
  </si>
  <si>
    <t>Mission_296</t>
  </si>
  <si>
    <t>SM-00297</t>
  </si>
  <si>
    <t>Mission_297</t>
  </si>
  <si>
    <t>SM-00298</t>
  </si>
  <si>
    <t>Mission_298</t>
  </si>
  <si>
    <t>SM-00299</t>
  </si>
  <si>
    <t>Mission_299</t>
  </si>
  <si>
    <t>SM-00300</t>
  </si>
  <si>
    <t>Mission_300</t>
  </si>
  <si>
    <t>SM-00301</t>
  </si>
  <si>
    <t>Mission_301</t>
  </si>
  <si>
    <t>SM-00302</t>
  </si>
  <si>
    <t>Mission_302</t>
  </si>
  <si>
    <t>SM-00303</t>
  </si>
  <si>
    <t>Mission_303</t>
  </si>
  <si>
    <t>SM-00304</t>
  </si>
  <si>
    <t>Mission_304</t>
  </si>
  <si>
    <t>SM-00305</t>
  </si>
  <si>
    <t>Mission_305</t>
  </si>
  <si>
    <t>SM-00306</t>
  </si>
  <si>
    <t>Mission_306</t>
  </si>
  <si>
    <t>SM-00307</t>
  </si>
  <si>
    <t>Mission_307</t>
  </si>
  <si>
    <t>SM-00308</t>
  </si>
  <si>
    <t>Mission_308</t>
  </si>
  <si>
    <t>SM-00309</t>
  </si>
  <si>
    <t>Mission_309</t>
  </si>
  <si>
    <t>SM-00310</t>
  </si>
  <si>
    <t>Mission_310</t>
  </si>
  <si>
    <t>SM-00311</t>
  </si>
  <si>
    <t>Mission_311</t>
  </si>
  <si>
    <t>SM-00312</t>
  </si>
  <si>
    <t>Mission_312</t>
  </si>
  <si>
    <t>SM-00313</t>
  </si>
  <si>
    <t>Mission_313</t>
  </si>
  <si>
    <t>SM-00314</t>
  </si>
  <si>
    <t>Mission_314</t>
  </si>
  <si>
    <t>SM-00315</t>
  </si>
  <si>
    <t>Mission_315</t>
  </si>
  <si>
    <t>SM-00316</t>
  </si>
  <si>
    <t>Mission_316</t>
  </si>
  <si>
    <t>SM-00317</t>
  </si>
  <si>
    <t>Mission_317</t>
  </si>
  <si>
    <t>SM-00318</t>
  </si>
  <si>
    <t>Mission_318</t>
  </si>
  <si>
    <t>SM-00319</t>
  </si>
  <si>
    <t>Mission_319</t>
  </si>
  <si>
    <t>SM-00320</t>
  </si>
  <si>
    <t>Mission_320</t>
  </si>
  <si>
    <t>SM-00321</t>
  </si>
  <si>
    <t>Mission_321</t>
  </si>
  <si>
    <t>SM-00322</t>
  </si>
  <si>
    <t>Mission_322</t>
  </si>
  <si>
    <t>SM-00323</t>
  </si>
  <si>
    <t>Mission_323</t>
  </si>
  <si>
    <t>SM-00324</t>
  </si>
  <si>
    <t>Mission_324</t>
  </si>
  <si>
    <t>SM-00325</t>
  </si>
  <si>
    <t>Mission_325</t>
  </si>
  <si>
    <t>SM-00326</t>
  </si>
  <si>
    <t>Mission_326</t>
  </si>
  <si>
    <t>SM-00327</t>
  </si>
  <si>
    <t>Mission_327</t>
  </si>
  <si>
    <t>SM-00328</t>
  </si>
  <si>
    <t>Mission_328</t>
  </si>
  <si>
    <t>SM-00329</t>
  </si>
  <si>
    <t>Mission_329</t>
  </si>
  <si>
    <t>SM-00330</t>
  </si>
  <si>
    <t>Mission_330</t>
  </si>
  <si>
    <t>SM-00331</t>
  </si>
  <si>
    <t>Mission_331</t>
  </si>
  <si>
    <t>SM-00332</t>
  </si>
  <si>
    <t>Mission_332</t>
  </si>
  <si>
    <t>SM-00333</t>
  </si>
  <si>
    <t>Mission_333</t>
  </si>
  <si>
    <t>SM-00334</t>
  </si>
  <si>
    <t>Mission_334</t>
  </si>
  <si>
    <t>SM-00335</t>
  </si>
  <si>
    <t>Mission_335</t>
  </si>
  <si>
    <t>SM-00336</t>
  </si>
  <si>
    <t>Mission_336</t>
  </si>
  <si>
    <t>SM-00337</t>
  </si>
  <si>
    <t>Mission_337</t>
  </si>
  <si>
    <t>SM-00338</t>
  </si>
  <si>
    <t>Mission_338</t>
  </si>
  <si>
    <t>SM-00339</t>
  </si>
  <si>
    <t>Mission_339</t>
  </si>
  <si>
    <t>SM-00340</t>
  </si>
  <si>
    <t>Mission_340</t>
  </si>
  <si>
    <t>SM-00341</t>
  </si>
  <si>
    <t>Mission_341</t>
  </si>
  <si>
    <t>SM-00342</t>
  </si>
  <si>
    <t>Mission_342</t>
  </si>
  <si>
    <t>SM-00343</t>
  </si>
  <si>
    <t>Mission_343</t>
  </si>
  <si>
    <t>SM-00344</t>
  </si>
  <si>
    <t>Mission_344</t>
  </si>
  <si>
    <t>SM-00345</t>
  </si>
  <si>
    <t>Mission_345</t>
  </si>
  <si>
    <t>SM-00346</t>
  </si>
  <si>
    <t>Mission_346</t>
  </si>
  <si>
    <t>SM-00347</t>
  </si>
  <si>
    <t>Mission_347</t>
  </si>
  <si>
    <t>SM-00348</t>
  </si>
  <si>
    <t>Mission_348</t>
  </si>
  <si>
    <t>SM-00349</t>
  </si>
  <si>
    <t>Mission_349</t>
  </si>
  <si>
    <t>SM-00350</t>
  </si>
  <si>
    <t>Mission_350</t>
  </si>
  <si>
    <t>SM-00351</t>
  </si>
  <si>
    <t>Mission_351</t>
  </si>
  <si>
    <t>SM-00352</t>
  </si>
  <si>
    <t>Mission_352</t>
  </si>
  <si>
    <t>SM-00353</t>
  </si>
  <si>
    <t>Mission_353</t>
  </si>
  <si>
    <t>SM-00354</t>
  </si>
  <si>
    <t>Mission_354</t>
  </si>
  <si>
    <t>SM-00355</t>
  </si>
  <si>
    <t>Mission_355</t>
  </si>
  <si>
    <t>SM-00356</t>
  </si>
  <si>
    <t>Mission_356</t>
  </si>
  <si>
    <t>SM-00357</t>
  </si>
  <si>
    <t>Mission_357</t>
  </si>
  <si>
    <t>SM-00358</t>
  </si>
  <si>
    <t>Mission_358</t>
  </si>
  <si>
    <t>SM-00359</t>
  </si>
  <si>
    <t>Mission_359</t>
  </si>
  <si>
    <t>SM-00360</t>
  </si>
  <si>
    <t>Mission_360</t>
  </si>
  <si>
    <t>SM-00361</t>
  </si>
  <si>
    <t>Mission_361</t>
  </si>
  <si>
    <t>SM-00362</t>
  </si>
  <si>
    <t>Mission_362</t>
  </si>
  <si>
    <t>SM-00363</t>
  </si>
  <si>
    <t>Mission_363</t>
  </si>
  <si>
    <t>SM-00364</t>
  </si>
  <si>
    <t>Mission_364</t>
  </si>
  <si>
    <t>SM-00365</t>
  </si>
  <si>
    <t>Mission_365</t>
  </si>
  <si>
    <t>SM-00366</t>
  </si>
  <si>
    <t>Mission_366</t>
  </si>
  <si>
    <t>SM-00367</t>
  </si>
  <si>
    <t>Mission_367</t>
  </si>
  <si>
    <t>SM-00368</t>
  </si>
  <si>
    <t>Mission_368</t>
  </si>
  <si>
    <t>SM-00369</t>
  </si>
  <si>
    <t>Mission_369</t>
  </si>
  <si>
    <t>SM-00370</t>
  </si>
  <si>
    <t>Mission_370</t>
  </si>
  <si>
    <t>SM-00371</t>
  </si>
  <si>
    <t>Mission_371</t>
  </si>
  <si>
    <t>SM-00372</t>
  </si>
  <si>
    <t>Mission_372</t>
  </si>
  <si>
    <t>SM-00373</t>
  </si>
  <si>
    <t>Mission_373</t>
  </si>
  <si>
    <t>SM-00374</t>
  </si>
  <si>
    <t>Mission_374</t>
  </si>
  <si>
    <t>SM-00375</t>
  </si>
  <si>
    <t>Mission_375</t>
  </si>
  <si>
    <t>SM-00376</t>
  </si>
  <si>
    <t>Mission_376</t>
  </si>
  <si>
    <t>SM-00377</t>
  </si>
  <si>
    <t>Mission_377</t>
  </si>
  <si>
    <t>SM-00378</t>
  </si>
  <si>
    <t>Mission_378</t>
  </si>
  <si>
    <t>SM-00379</t>
  </si>
  <si>
    <t>Mission_379</t>
  </si>
  <si>
    <t>SM-00380</t>
  </si>
  <si>
    <t>Mission_380</t>
  </si>
  <si>
    <t>SM-00381</t>
  </si>
  <si>
    <t>Mission_381</t>
  </si>
  <si>
    <t>SM-00382</t>
  </si>
  <si>
    <t>Mission_382</t>
  </si>
  <si>
    <t>SM-00383</t>
  </si>
  <si>
    <t>Mission_383</t>
  </si>
  <si>
    <t>SM-00384</t>
  </si>
  <si>
    <t>Mission_384</t>
  </si>
  <si>
    <t>SM-00385</t>
  </si>
  <si>
    <t>Mission_385</t>
  </si>
  <si>
    <t>SM-00386</t>
  </si>
  <si>
    <t>Mission_386</t>
  </si>
  <si>
    <t>SM-00387</t>
  </si>
  <si>
    <t>Mission_387</t>
  </si>
  <si>
    <t>SM-00388</t>
  </si>
  <si>
    <t>Mission_388</t>
  </si>
  <si>
    <t>SM-00389</t>
  </si>
  <si>
    <t>Mission_389</t>
  </si>
  <si>
    <t>SM-00390</t>
  </si>
  <si>
    <t>Mission_390</t>
  </si>
  <si>
    <t>SM-00391</t>
  </si>
  <si>
    <t>Mission_391</t>
  </si>
  <si>
    <t>SM-00392</t>
  </si>
  <si>
    <t>Mission_392</t>
  </si>
  <si>
    <t>SM-00393</t>
  </si>
  <si>
    <t>Mission_393</t>
  </si>
  <si>
    <t>SM-00394</t>
  </si>
  <si>
    <t>Mission_394</t>
  </si>
  <si>
    <t>SM-00395</t>
  </si>
  <si>
    <t>Mission_395</t>
  </si>
  <si>
    <t>SM-00396</t>
  </si>
  <si>
    <t>Mission_396</t>
  </si>
  <si>
    <t>SM-00397</t>
  </si>
  <si>
    <t>Mission_397</t>
  </si>
  <si>
    <t>SM-00398</t>
  </si>
  <si>
    <t>Mission_398</t>
  </si>
  <si>
    <t>SM-00399</t>
  </si>
  <si>
    <t>Mission_399</t>
  </si>
  <si>
    <t>SM-00400</t>
  </si>
  <si>
    <t>Mission_400</t>
  </si>
  <si>
    <t>SM-00401</t>
  </si>
  <si>
    <t>Mission_401</t>
  </si>
  <si>
    <t>SM-00402</t>
  </si>
  <si>
    <t>Mission_402</t>
  </si>
  <si>
    <t>SM-00403</t>
  </si>
  <si>
    <t>Mission_403</t>
  </si>
  <si>
    <t>SM-00404</t>
  </si>
  <si>
    <t>Mission_404</t>
  </si>
  <si>
    <t>SM-00405</t>
  </si>
  <si>
    <t>Mission_405</t>
  </si>
  <si>
    <t>SM-00406</t>
  </si>
  <si>
    <t>Mission_406</t>
  </si>
  <si>
    <t>SM-00407</t>
  </si>
  <si>
    <t>Mission_407</t>
  </si>
  <si>
    <t>SM-00408</t>
  </si>
  <si>
    <t>Mission_408</t>
  </si>
  <si>
    <t>SM-00409</t>
  </si>
  <si>
    <t>Mission_409</t>
  </si>
  <si>
    <t>SM-00410</t>
  </si>
  <si>
    <t>Mission_410</t>
  </si>
  <si>
    <t>SM-00411</t>
  </si>
  <si>
    <t>Mission_411</t>
  </si>
  <si>
    <t>SM-00412</t>
  </si>
  <si>
    <t>Mission_412</t>
  </si>
  <si>
    <t>SM-00413</t>
  </si>
  <si>
    <t>Mission_413</t>
  </si>
  <si>
    <t>SM-00414</t>
  </si>
  <si>
    <t>Mission_414</t>
  </si>
  <si>
    <t>SM-00415</t>
  </si>
  <si>
    <t>Mission_415</t>
  </si>
  <si>
    <t>SM-00416</t>
  </si>
  <si>
    <t>Mission_416</t>
  </si>
  <si>
    <t>SM-00417</t>
  </si>
  <si>
    <t>Mission_417</t>
  </si>
  <si>
    <t>SM-00418</t>
  </si>
  <si>
    <t>Mission_418</t>
  </si>
  <si>
    <t>SM-00419</t>
  </si>
  <si>
    <t>Mission_419</t>
  </si>
  <si>
    <t>SM-00420</t>
  </si>
  <si>
    <t>Mission_420</t>
  </si>
  <si>
    <t>SM-00421</t>
  </si>
  <si>
    <t>Mission_421</t>
  </si>
  <si>
    <t>SM-00422</t>
  </si>
  <si>
    <t>Mission_422</t>
  </si>
  <si>
    <t>SM-00423</t>
  </si>
  <si>
    <t>Mission_423</t>
  </si>
  <si>
    <t>SM-00424</t>
  </si>
  <si>
    <t>Mission_424</t>
  </si>
  <si>
    <t>SM-00425</t>
  </si>
  <si>
    <t>Mission_425</t>
  </si>
  <si>
    <t>SM-00426</t>
  </si>
  <si>
    <t>Mission_426</t>
  </si>
  <si>
    <t>SM-00427</t>
  </si>
  <si>
    <t>Mission_427</t>
  </si>
  <si>
    <t>SM-00428</t>
  </si>
  <si>
    <t>Mission_428</t>
  </si>
  <si>
    <t>SM-00429</t>
  </si>
  <si>
    <t>Mission_429</t>
  </si>
  <si>
    <t>SM-00430</t>
  </si>
  <si>
    <t>Mission_430</t>
  </si>
  <si>
    <t>SM-00431</t>
  </si>
  <si>
    <t>Mission_431</t>
  </si>
  <si>
    <t>SM-00432</t>
  </si>
  <si>
    <t>Mission_432</t>
  </si>
  <si>
    <t>SM-00433</t>
  </si>
  <si>
    <t>Mission_433</t>
  </si>
  <si>
    <t>SM-00434</t>
  </si>
  <si>
    <t>Mission_434</t>
  </si>
  <si>
    <t>SM-00435</t>
  </si>
  <si>
    <t>Mission_435</t>
  </si>
  <si>
    <t>SM-00436</t>
  </si>
  <si>
    <t>Mission_436</t>
  </si>
  <si>
    <t>SM-00437</t>
  </si>
  <si>
    <t>Mission_437</t>
  </si>
  <si>
    <t>SM-00438</t>
  </si>
  <si>
    <t>Mission_438</t>
  </si>
  <si>
    <t>SM-00439</t>
  </si>
  <si>
    <t>Mission_439</t>
  </si>
  <si>
    <t>SM-00440</t>
  </si>
  <si>
    <t>Mission_440</t>
  </si>
  <si>
    <t>SM-00441</t>
  </si>
  <si>
    <t>Mission_441</t>
  </si>
  <si>
    <t>SM-00442</t>
  </si>
  <si>
    <t>Mission_442</t>
  </si>
  <si>
    <t>SM-00443</t>
  </si>
  <si>
    <t>Mission_443</t>
  </si>
  <si>
    <t>SM-00444</t>
  </si>
  <si>
    <t>Mission_444</t>
  </si>
  <si>
    <t>SM-00445</t>
  </si>
  <si>
    <t>Mission_445</t>
  </si>
  <si>
    <t>SM-00446</t>
  </si>
  <si>
    <t>Mission_446</t>
  </si>
  <si>
    <t>SM-00447</t>
  </si>
  <si>
    <t>Mission_447</t>
  </si>
  <si>
    <t>SM-00448</t>
  </si>
  <si>
    <t>Mission_448</t>
  </si>
  <si>
    <t>SM-00449</t>
  </si>
  <si>
    <t>Mission_449</t>
  </si>
  <si>
    <t>SM-00450</t>
  </si>
  <si>
    <t>Mission_450</t>
  </si>
  <si>
    <t>SM-00451</t>
  </si>
  <si>
    <t>Mission_451</t>
  </si>
  <si>
    <t>SM-00452</t>
  </si>
  <si>
    <t>Mission_452</t>
  </si>
  <si>
    <t>SM-00453</t>
  </si>
  <si>
    <t>Mission_453</t>
  </si>
  <si>
    <t>SM-00454</t>
  </si>
  <si>
    <t>Mission_454</t>
  </si>
  <si>
    <t>SM-00455</t>
  </si>
  <si>
    <t>Mission_455</t>
  </si>
  <si>
    <t>SM-00456</t>
  </si>
  <si>
    <t>Mission_456</t>
  </si>
  <si>
    <t>SM-00457</t>
  </si>
  <si>
    <t>Mission_457</t>
  </si>
  <si>
    <t>SM-00458</t>
  </si>
  <si>
    <t>Mission_458</t>
  </si>
  <si>
    <t>SM-00459</t>
  </si>
  <si>
    <t>Mission_459</t>
  </si>
  <si>
    <t>SM-00460</t>
  </si>
  <si>
    <t>Mission_460</t>
  </si>
  <si>
    <t>SM-00461</t>
  </si>
  <si>
    <t>Mission_461</t>
  </si>
  <si>
    <t>SM-00462</t>
  </si>
  <si>
    <t>Mission_462</t>
  </si>
  <si>
    <t>SM-00463</t>
  </si>
  <si>
    <t>Mission_463</t>
  </si>
  <si>
    <t>SM-00464</t>
  </si>
  <si>
    <t>Mission_464</t>
  </si>
  <si>
    <t>SM-00465</t>
  </si>
  <si>
    <t>Mission_465</t>
  </si>
  <si>
    <t>SM-00466</t>
  </si>
  <si>
    <t>Mission_466</t>
  </si>
  <si>
    <t>SM-00467</t>
  </si>
  <si>
    <t>Mission_467</t>
  </si>
  <si>
    <t>SM-00468</t>
  </si>
  <si>
    <t>Mission_468</t>
  </si>
  <si>
    <t>SM-00469</t>
  </si>
  <si>
    <t>Mission_469</t>
  </si>
  <si>
    <t>SM-00470</t>
  </si>
  <si>
    <t>Mission_470</t>
  </si>
  <si>
    <t>SM-00471</t>
  </si>
  <si>
    <t>Mission_471</t>
  </si>
  <si>
    <t>SM-00472</t>
  </si>
  <si>
    <t>Mission_472</t>
  </si>
  <si>
    <t>SM-00473</t>
  </si>
  <si>
    <t>Mission_473</t>
  </si>
  <si>
    <t>SM-00474</t>
  </si>
  <si>
    <t>Mission_474</t>
  </si>
  <si>
    <t>SM-00475</t>
  </si>
  <si>
    <t>Mission_475</t>
  </si>
  <si>
    <t>SM-00476</t>
  </si>
  <si>
    <t>Mission_476</t>
  </si>
  <si>
    <t>SM-00477</t>
  </si>
  <si>
    <t>Mission_477</t>
  </si>
  <si>
    <t>SM-00478</t>
  </si>
  <si>
    <t>Mission_478</t>
  </si>
  <si>
    <t>SM-00479</t>
  </si>
  <si>
    <t>Mission_479</t>
  </si>
  <si>
    <t>SM-00480</t>
  </si>
  <si>
    <t>Mission_480</t>
  </si>
  <si>
    <t>SM-00481</t>
  </si>
  <si>
    <t>Mission_481</t>
  </si>
  <si>
    <t>SM-00482</t>
  </si>
  <si>
    <t>Mission_482</t>
  </si>
  <si>
    <t>SM-00483</t>
  </si>
  <si>
    <t>Mission_483</t>
  </si>
  <si>
    <t>SM-00484</t>
  </si>
  <si>
    <t>Mission_484</t>
  </si>
  <si>
    <t>SM-00485</t>
  </si>
  <si>
    <t>Mission_485</t>
  </si>
  <si>
    <t>SM-00486</t>
  </si>
  <si>
    <t>Mission_486</t>
  </si>
  <si>
    <t>SM-00487</t>
  </si>
  <si>
    <t>Mission_487</t>
  </si>
  <si>
    <t>SM-00488</t>
  </si>
  <si>
    <t>Mission_488</t>
  </si>
  <si>
    <t>SM-00489</t>
  </si>
  <si>
    <t>Mission_489</t>
  </si>
  <si>
    <t>SM-00490</t>
  </si>
  <si>
    <t>Mission_490</t>
  </si>
  <si>
    <t>SM-00491</t>
  </si>
  <si>
    <t>Mission_491</t>
  </si>
  <si>
    <t>SM-00492</t>
  </si>
  <si>
    <t>Mission_492</t>
  </si>
  <si>
    <t>SM-00493</t>
  </si>
  <si>
    <t>Mission_493</t>
  </si>
  <si>
    <t>SM-00494</t>
  </si>
  <si>
    <t>Mission_494</t>
  </si>
  <si>
    <t>SM-00495</t>
  </si>
  <si>
    <t>Mission_495</t>
  </si>
  <si>
    <t>SM-00496</t>
  </si>
  <si>
    <t>Mission_496</t>
  </si>
  <si>
    <t>SM-00497</t>
  </si>
  <si>
    <t>Mission_497</t>
  </si>
  <si>
    <t>SM-00498</t>
  </si>
  <si>
    <t>Mission_498</t>
  </si>
  <si>
    <t>SM-00499</t>
  </si>
  <si>
    <t>Mission_499</t>
  </si>
  <si>
    <t>SM-00500</t>
  </si>
  <si>
    <t>Mission_500</t>
  </si>
  <si>
    <t>SM-00501</t>
  </si>
  <si>
    <t>Mission_501</t>
  </si>
  <si>
    <t>SM-00502</t>
  </si>
  <si>
    <t>Mission_502</t>
  </si>
  <si>
    <t>SM-00503</t>
  </si>
  <si>
    <t>Mission_503</t>
  </si>
  <si>
    <t>SM-00504</t>
  </si>
  <si>
    <t>Mission_504</t>
  </si>
  <si>
    <t>SM-00505</t>
  </si>
  <si>
    <t>Mission_505</t>
  </si>
  <si>
    <t>SM-00506</t>
  </si>
  <si>
    <t>Mission_506</t>
  </si>
  <si>
    <t>SM-00507</t>
  </si>
  <si>
    <t>Mission_507</t>
  </si>
  <si>
    <t>SM-00508</t>
  </si>
  <si>
    <t>Mission_508</t>
  </si>
  <si>
    <t>SM-00509</t>
  </si>
  <si>
    <t>Mission_509</t>
  </si>
  <si>
    <t>SM-00510</t>
  </si>
  <si>
    <t>Mission_510</t>
  </si>
  <si>
    <t>SM-00511</t>
  </si>
  <si>
    <t>Mission_511</t>
  </si>
  <si>
    <t>SM-00512</t>
  </si>
  <si>
    <t>Mission_512</t>
  </si>
  <si>
    <t>SM-00513</t>
  </si>
  <si>
    <t>Mission_513</t>
  </si>
  <si>
    <t>SM-00514</t>
  </si>
  <si>
    <t>Mission_514</t>
  </si>
  <si>
    <t>SM-00515</t>
  </si>
  <si>
    <t>Mission_515</t>
  </si>
  <si>
    <t>SM-00516</t>
  </si>
  <si>
    <t>Mission_516</t>
  </si>
  <si>
    <t>SM-00517</t>
  </si>
  <si>
    <t>Mission_517</t>
  </si>
  <si>
    <t>SM-00518</t>
  </si>
  <si>
    <t>Mission_518</t>
  </si>
  <si>
    <t>SM-00519</t>
  </si>
  <si>
    <t>Mission_519</t>
  </si>
  <si>
    <t>SM-00520</t>
  </si>
  <si>
    <t>Mission_520</t>
  </si>
  <si>
    <t>SM-00521</t>
  </si>
  <si>
    <t>Mission_521</t>
  </si>
  <si>
    <t>SM-00522</t>
  </si>
  <si>
    <t>Mission_522</t>
  </si>
  <si>
    <t>SM-00523</t>
  </si>
  <si>
    <t>Mission_523</t>
  </si>
  <si>
    <t>SM-00524</t>
  </si>
  <si>
    <t>Mission_524</t>
  </si>
  <si>
    <t>SM-00525</t>
  </si>
  <si>
    <t>Mission_525</t>
  </si>
  <si>
    <t>SM-00526</t>
  </si>
  <si>
    <t>Mission_526</t>
  </si>
  <si>
    <t>SM-00527</t>
  </si>
  <si>
    <t>Mission_527</t>
  </si>
  <si>
    <t>SM-00528</t>
  </si>
  <si>
    <t>Mission_528</t>
  </si>
  <si>
    <t>SM-00529</t>
  </si>
  <si>
    <t>Mission_529</t>
  </si>
  <si>
    <t>SM-00530</t>
  </si>
  <si>
    <t>Mission_530</t>
  </si>
  <si>
    <t>SM-00531</t>
  </si>
  <si>
    <t>Mission_531</t>
  </si>
  <si>
    <t>SM-00532</t>
  </si>
  <si>
    <t>Mission_532</t>
  </si>
  <si>
    <t>SM-00533</t>
  </si>
  <si>
    <t>Mission_533</t>
  </si>
  <si>
    <t>SM-00534</t>
  </si>
  <si>
    <t>Mission_534</t>
  </si>
  <si>
    <t>SM-00535</t>
  </si>
  <si>
    <t>Mission_535</t>
  </si>
  <si>
    <t>SM-00536</t>
  </si>
  <si>
    <t>Mission_536</t>
  </si>
  <si>
    <t>SM-00537</t>
  </si>
  <si>
    <t>Mission_537</t>
  </si>
  <si>
    <t>SM-00538</t>
  </si>
  <si>
    <t>Mission_538</t>
  </si>
  <si>
    <t>SM-00539</t>
  </si>
  <si>
    <t>Mission_539</t>
  </si>
  <si>
    <t>SM-00540</t>
  </si>
  <si>
    <t>Mission_540</t>
  </si>
  <si>
    <t>SM-00541</t>
  </si>
  <si>
    <t>Mission_541</t>
  </si>
  <si>
    <t>SM-00542</t>
  </si>
  <si>
    <t>Mission_542</t>
  </si>
  <si>
    <t>SM-00543</t>
  </si>
  <si>
    <t>Mission_543</t>
  </si>
  <si>
    <t>SM-00544</t>
  </si>
  <si>
    <t>Mission_544</t>
  </si>
  <si>
    <t>SM-00545</t>
  </si>
  <si>
    <t>Mission_545</t>
  </si>
  <si>
    <t>SM-00546</t>
  </si>
  <si>
    <t>Mission_546</t>
  </si>
  <si>
    <t>SM-00547</t>
  </si>
  <si>
    <t>Mission_547</t>
  </si>
  <si>
    <t>SM-00548</t>
  </si>
  <si>
    <t>Mission_548</t>
  </si>
  <si>
    <t>SM-00549</t>
  </si>
  <si>
    <t>Mission_549</t>
  </si>
  <si>
    <t>SM-00550</t>
  </si>
  <si>
    <t>Mission_550</t>
  </si>
  <si>
    <t>SM-00551</t>
  </si>
  <si>
    <t>Mission_551</t>
  </si>
  <si>
    <t>SM-00552</t>
  </si>
  <si>
    <t>Mission_552</t>
  </si>
  <si>
    <t>SM-00553</t>
  </si>
  <si>
    <t>Mission_553</t>
  </si>
  <si>
    <t>SM-00554</t>
  </si>
  <si>
    <t>Mission_554</t>
  </si>
  <si>
    <t>SM-00555</t>
  </si>
  <si>
    <t>Mission_555</t>
  </si>
  <si>
    <t>SM-00556</t>
  </si>
  <si>
    <t>Mission_556</t>
  </si>
  <si>
    <t>SM-00557</t>
  </si>
  <si>
    <t>Mission_557</t>
  </si>
  <si>
    <t>SM-00558</t>
  </si>
  <si>
    <t>Mission_558</t>
  </si>
  <si>
    <t>SM-00559</t>
  </si>
  <si>
    <t>Mission_559</t>
  </si>
  <si>
    <t>SM-00560</t>
  </si>
  <si>
    <t>Mission_560</t>
  </si>
  <si>
    <t>SM-00561</t>
  </si>
  <si>
    <t>Mission_561</t>
  </si>
  <si>
    <t>SM-00562</t>
  </si>
  <si>
    <t>Mission_562</t>
  </si>
  <si>
    <t>SM-00563</t>
  </si>
  <si>
    <t>Mission_563</t>
  </si>
  <si>
    <t>SM-00564</t>
  </si>
  <si>
    <t>Mission_564</t>
  </si>
  <si>
    <t>SM-00565</t>
  </si>
  <si>
    <t>Mission_565</t>
  </si>
  <si>
    <t>SM-00566</t>
  </si>
  <si>
    <t>Mission_566</t>
  </si>
  <si>
    <t>SM-00567</t>
  </si>
  <si>
    <t>Mission_567</t>
  </si>
  <si>
    <t>SM-00568</t>
  </si>
  <si>
    <t>Mission_568</t>
  </si>
  <si>
    <t>SM-00569</t>
  </si>
  <si>
    <t>Mission_569</t>
  </si>
  <si>
    <t>SM-00570</t>
  </si>
  <si>
    <t>Mission_570</t>
  </si>
  <si>
    <t>SM-00571</t>
  </si>
  <si>
    <t>Mission_571</t>
  </si>
  <si>
    <t>SM-00572</t>
  </si>
  <si>
    <t>Mission_572</t>
  </si>
  <si>
    <t>SM-00573</t>
  </si>
  <si>
    <t>Mission_573</t>
  </si>
  <si>
    <t>SM-00574</t>
  </si>
  <si>
    <t>Mission_574</t>
  </si>
  <si>
    <t>SM-00575</t>
  </si>
  <si>
    <t>Mission_575</t>
  </si>
  <si>
    <t>SM-00576</t>
  </si>
  <si>
    <t>Mission_576</t>
  </si>
  <si>
    <t>SM-00577</t>
  </si>
  <si>
    <t>Mission_577</t>
  </si>
  <si>
    <t>SM-00578</t>
  </si>
  <si>
    <t>Mission_578</t>
  </si>
  <si>
    <t>SM-00579</t>
  </si>
  <si>
    <t>Mission_579</t>
  </si>
  <si>
    <t>SM-00580</t>
  </si>
  <si>
    <t>Mission_580</t>
  </si>
  <si>
    <t>SM-00581</t>
  </si>
  <si>
    <t>Mission_581</t>
  </si>
  <si>
    <t>SM-00582</t>
  </si>
  <si>
    <t>Mission_582</t>
  </si>
  <si>
    <t>SM-00583</t>
  </si>
  <si>
    <t>Mission_583</t>
  </si>
  <si>
    <t>SM-00584</t>
  </si>
  <si>
    <t>Mission_584</t>
  </si>
  <si>
    <t>SM-00585</t>
  </si>
  <si>
    <t>Mission_585</t>
  </si>
  <si>
    <t>SM-00586</t>
  </si>
  <si>
    <t>Mission_586</t>
  </si>
  <si>
    <t>SM-00587</t>
  </si>
  <si>
    <t>Mission_587</t>
  </si>
  <si>
    <t>SM-00588</t>
  </si>
  <si>
    <t>Mission_588</t>
  </si>
  <si>
    <t>SM-00589</t>
  </si>
  <si>
    <t>Mission_589</t>
  </si>
  <si>
    <t>SM-00590</t>
  </si>
  <si>
    <t>Mission_590</t>
  </si>
  <si>
    <t>SM-00591</t>
  </si>
  <si>
    <t>Mission_591</t>
  </si>
  <si>
    <t>SM-00592</t>
  </si>
  <si>
    <t>Mission_592</t>
  </si>
  <si>
    <t>SM-00593</t>
  </si>
  <si>
    <t>Mission_593</t>
  </si>
  <si>
    <t>SM-00594</t>
  </si>
  <si>
    <t>Mission_594</t>
  </si>
  <si>
    <t>SM-00595</t>
  </si>
  <si>
    <t>Mission_595</t>
  </si>
  <si>
    <t>SM-00596</t>
  </si>
  <si>
    <t>Mission_596</t>
  </si>
  <si>
    <t>SM-00597</t>
  </si>
  <si>
    <t>Mission_597</t>
  </si>
  <si>
    <t>SM-00598</t>
  </si>
  <si>
    <t>Mission_598</t>
  </si>
  <si>
    <t>SM-00599</t>
  </si>
  <si>
    <t>Mission_599</t>
  </si>
  <si>
    <t>SM-00600</t>
  </si>
  <si>
    <t>Mission_600</t>
  </si>
  <si>
    <t>SM-00601</t>
  </si>
  <si>
    <t>Mission_601</t>
  </si>
  <si>
    <t>SM-00602</t>
  </si>
  <si>
    <t>Mission_602</t>
  </si>
  <si>
    <t>SM-00603</t>
  </si>
  <si>
    <t>Mission_603</t>
  </si>
  <si>
    <t>SM-00604</t>
  </si>
  <si>
    <t>Mission_604</t>
  </si>
  <si>
    <t>SM-00605</t>
  </si>
  <si>
    <t>Mission_605</t>
  </si>
  <si>
    <t>SM-00606</t>
  </si>
  <si>
    <t>Mission_606</t>
  </si>
  <si>
    <t>SM-00607</t>
  </si>
  <si>
    <t>Mission_607</t>
  </si>
  <si>
    <t>SM-00608</t>
  </si>
  <si>
    <t>Mission_608</t>
  </si>
  <si>
    <t>SM-00609</t>
  </si>
  <si>
    <t>Mission_609</t>
  </si>
  <si>
    <t>SM-00610</t>
  </si>
  <si>
    <t>Mission_610</t>
  </si>
  <si>
    <t>SM-00611</t>
  </si>
  <si>
    <t>Mission_611</t>
  </si>
  <si>
    <t>SM-00612</t>
  </si>
  <si>
    <t>Mission_612</t>
  </si>
  <si>
    <t>SM-00613</t>
  </si>
  <si>
    <t>Mission_613</t>
  </si>
  <si>
    <t>SM-00614</t>
  </si>
  <si>
    <t>Mission_614</t>
  </si>
  <si>
    <t>SM-00615</t>
  </si>
  <si>
    <t>Mission_615</t>
  </si>
  <si>
    <t>SM-00616</t>
  </si>
  <si>
    <t>Mission_616</t>
  </si>
  <si>
    <t>SM-00617</t>
  </si>
  <si>
    <t>Mission_617</t>
  </si>
  <si>
    <t>SM-00618</t>
  </si>
  <si>
    <t>Mission_618</t>
  </si>
  <si>
    <t>SM-00619</t>
  </si>
  <si>
    <t>Mission_619</t>
  </si>
  <si>
    <t>SM-00620</t>
  </si>
  <si>
    <t>Mission_620</t>
  </si>
  <si>
    <t>SM-00621</t>
  </si>
  <si>
    <t>Mission_621</t>
  </si>
  <si>
    <t>SM-00622</t>
  </si>
  <si>
    <t>Mission_622</t>
  </si>
  <si>
    <t>SM-00623</t>
  </si>
  <si>
    <t>Mission_623</t>
  </si>
  <si>
    <t>SM-00624</t>
  </si>
  <si>
    <t>Mission_624</t>
  </si>
  <si>
    <t>SM-00625</t>
  </si>
  <si>
    <t>Mission_625</t>
  </si>
  <si>
    <t>SM-00626</t>
  </si>
  <si>
    <t>Mission_626</t>
  </si>
  <si>
    <t>SM-00627</t>
  </si>
  <si>
    <t>Mission_627</t>
  </si>
  <si>
    <t>SM-00628</t>
  </si>
  <si>
    <t>Mission_628</t>
  </si>
  <si>
    <t>SM-00629</t>
  </si>
  <si>
    <t>Mission_629</t>
  </si>
  <si>
    <t>SM-00630</t>
  </si>
  <si>
    <t>Mission_630</t>
  </si>
  <si>
    <t>SM-00631</t>
  </si>
  <si>
    <t>Mission_631</t>
  </si>
  <si>
    <t>SM-00632</t>
  </si>
  <si>
    <t>Mission_632</t>
  </si>
  <si>
    <t>SM-00633</t>
  </si>
  <si>
    <t>Mission_633</t>
  </si>
  <si>
    <t>SM-00634</t>
  </si>
  <si>
    <t>Mission_634</t>
  </si>
  <si>
    <t>SM-00635</t>
  </si>
  <si>
    <t>Mission_635</t>
  </si>
  <si>
    <t>SM-00636</t>
  </si>
  <si>
    <t>Mission_636</t>
  </si>
  <si>
    <t>SM-00637</t>
  </si>
  <si>
    <t>Mission_637</t>
  </si>
  <si>
    <t>SM-00638</t>
  </si>
  <si>
    <t>Mission_638</t>
  </si>
  <si>
    <t>SM-00639</t>
  </si>
  <si>
    <t>Mission_639</t>
  </si>
  <si>
    <t>SM-00640</t>
  </si>
  <si>
    <t>Mission_640</t>
  </si>
  <si>
    <t>SM-00641</t>
  </si>
  <si>
    <t>Mission_641</t>
  </si>
  <si>
    <t>SM-00642</t>
  </si>
  <si>
    <t>Mission_642</t>
  </si>
  <si>
    <t>SM-00643</t>
  </si>
  <si>
    <t>Mission_643</t>
  </si>
  <si>
    <t>SM-00644</t>
  </si>
  <si>
    <t>Mission_644</t>
  </si>
  <si>
    <t>SM-00645</t>
  </si>
  <si>
    <t>Mission_645</t>
  </si>
  <si>
    <t>SM-00646</t>
  </si>
  <si>
    <t>Mission_646</t>
  </si>
  <si>
    <t>SM-00647</t>
  </si>
  <si>
    <t>Mission_647</t>
  </si>
  <si>
    <t>SM-00648</t>
  </si>
  <si>
    <t>Mission_648</t>
  </si>
  <si>
    <t>SM-00649</t>
  </si>
  <si>
    <t>Mission_649</t>
  </si>
  <si>
    <t>SM-00650</t>
  </si>
  <si>
    <t>Mission_650</t>
  </si>
  <si>
    <t>SM-00651</t>
  </si>
  <si>
    <t>Mission_651</t>
  </si>
  <si>
    <t>SM-00652</t>
  </si>
  <si>
    <t>Mission_652</t>
  </si>
  <si>
    <t>SM-00653</t>
  </si>
  <si>
    <t>Mission_653</t>
  </si>
  <si>
    <t>SM-00654</t>
  </si>
  <si>
    <t>Mission_654</t>
  </si>
  <si>
    <t>SM-00655</t>
  </si>
  <si>
    <t>Mission_655</t>
  </si>
  <si>
    <t>SM-00656</t>
  </si>
  <si>
    <t>Mission_656</t>
  </si>
  <si>
    <t>SM-00657</t>
  </si>
  <si>
    <t>Mission_657</t>
  </si>
  <si>
    <t>SM-00658</t>
  </si>
  <si>
    <t>Mission_658</t>
  </si>
  <si>
    <t>SM-00659</t>
  </si>
  <si>
    <t>Mission_659</t>
  </si>
  <si>
    <t>SM-00660</t>
  </si>
  <si>
    <t>Mission_660</t>
  </si>
  <si>
    <t>SM-00661</t>
  </si>
  <si>
    <t>Mission_661</t>
  </si>
  <si>
    <t>SM-00662</t>
  </si>
  <si>
    <t>Mission_662</t>
  </si>
  <si>
    <t>SM-00663</t>
  </si>
  <si>
    <t>Mission_663</t>
  </si>
  <si>
    <t>SM-00664</t>
  </si>
  <si>
    <t>Mission_664</t>
  </si>
  <si>
    <t>SM-00665</t>
  </si>
  <si>
    <t>Mission_665</t>
  </si>
  <si>
    <t>SM-00666</t>
  </si>
  <si>
    <t>Mission_666</t>
  </si>
  <si>
    <t>SM-00667</t>
  </si>
  <si>
    <t>Mission_667</t>
  </si>
  <si>
    <t>SM-00668</t>
  </si>
  <si>
    <t>Mission_668</t>
  </si>
  <si>
    <t>SM-00669</t>
  </si>
  <si>
    <t>Mission_669</t>
  </si>
  <si>
    <t>SM-00670</t>
  </si>
  <si>
    <t>Mission_670</t>
  </si>
  <si>
    <t>SM-00671</t>
  </si>
  <si>
    <t>Mission_671</t>
  </si>
  <si>
    <t>SM-00672</t>
  </si>
  <si>
    <t>Mission_672</t>
  </si>
  <si>
    <t>SM-00673</t>
  </si>
  <si>
    <t>Mission_673</t>
  </si>
  <si>
    <t>SM-00674</t>
  </si>
  <si>
    <t>Mission_674</t>
  </si>
  <si>
    <t>SM-00675</t>
  </si>
  <si>
    <t>Mission_675</t>
  </si>
  <si>
    <t>SM-00676</t>
  </si>
  <si>
    <t>Mission_676</t>
  </si>
  <si>
    <t>SM-00677</t>
  </si>
  <si>
    <t>Mission_677</t>
  </si>
  <si>
    <t>SM-00678</t>
  </si>
  <si>
    <t>Mission_678</t>
  </si>
  <si>
    <t>SM-00679</t>
  </si>
  <si>
    <t>Mission_679</t>
  </si>
  <si>
    <t>SM-00680</t>
  </si>
  <si>
    <t>Mission_680</t>
  </si>
  <si>
    <t>SM-00681</t>
  </si>
  <si>
    <t>Mission_681</t>
  </si>
  <si>
    <t>SM-00682</t>
  </si>
  <si>
    <t>Mission_682</t>
  </si>
  <si>
    <t>SM-00683</t>
  </si>
  <si>
    <t>Mission_683</t>
  </si>
  <si>
    <t>SM-00684</t>
  </si>
  <si>
    <t>Mission_684</t>
  </si>
  <si>
    <t>SM-00685</t>
  </si>
  <si>
    <t>Mission_685</t>
  </si>
  <si>
    <t>SM-00686</t>
  </si>
  <si>
    <t>Mission_686</t>
  </si>
  <si>
    <t>SM-00687</t>
  </si>
  <si>
    <t>Mission_687</t>
  </si>
  <si>
    <t>SM-00688</t>
  </si>
  <si>
    <t>Mission_688</t>
  </si>
  <si>
    <t>SM-00689</t>
  </si>
  <si>
    <t>Mission_689</t>
  </si>
  <si>
    <t>SM-00690</t>
  </si>
  <si>
    <t>Mission_690</t>
  </si>
  <si>
    <t>SM-00691</t>
  </si>
  <si>
    <t>Mission_691</t>
  </si>
  <si>
    <t>SM-00692</t>
  </si>
  <si>
    <t>Mission_692</t>
  </si>
  <si>
    <t>SM-00693</t>
  </si>
  <si>
    <t>Mission_693</t>
  </si>
  <si>
    <t>SM-00694</t>
  </si>
  <si>
    <t>Mission_694</t>
  </si>
  <si>
    <t>SM-00695</t>
  </si>
  <si>
    <t>Mission_695</t>
  </si>
  <si>
    <t>SM-00696</t>
  </si>
  <si>
    <t>Mission_696</t>
  </si>
  <si>
    <t>SM-00697</t>
  </si>
  <si>
    <t>Mission_697</t>
  </si>
  <si>
    <t>SM-00698</t>
  </si>
  <si>
    <t>Mission_698</t>
  </si>
  <si>
    <t>SM-00699</t>
  </si>
  <si>
    <t>Mission_699</t>
  </si>
  <si>
    <t>SM-00700</t>
  </si>
  <si>
    <t>Mission_700</t>
  </si>
  <si>
    <t>SM-00701</t>
  </si>
  <si>
    <t>Mission_701</t>
  </si>
  <si>
    <t>SM-00702</t>
  </si>
  <si>
    <t>Mission_702</t>
  </si>
  <si>
    <t>SM-00703</t>
  </si>
  <si>
    <t>Mission_703</t>
  </si>
  <si>
    <t>SM-00704</t>
  </si>
  <si>
    <t>Mission_704</t>
  </si>
  <si>
    <t>SM-00705</t>
  </si>
  <si>
    <t>Mission_705</t>
  </si>
  <si>
    <t>SM-00706</t>
  </si>
  <si>
    <t>Mission_706</t>
  </si>
  <si>
    <t>SM-00707</t>
  </si>
  <si>
    <t>Mission_707</t>
  </si>
  <si>
    <t>SM-00708</t>
  </si>
  <si>
    <t>Mission_708</t>
  </si>
  <si>
    <t>SM-00709</t>
  </si>
  <si>
    <t>Mission_709</t>
  </si>
  <si>
    <t>SM-00710</t>
  </si>
  <si>
    <t>Mission_710</t>
  </si>
  <si>
    <t>SM-00711</t>
  </si>
  <si>
    <t>Mission_711</t>
  </si>
  <si>
    <t>SM-00712</t>
  </si>
  <si>
    <t>Mission_712</t>
  </si>
  <si>
    <t>SM-00713</t>
  </si>
  <si>
    <t>Mission_713</t>
  </si>
  <si>
    <t>SM-00714</t>
  </si>
  <si>
    <t>Mission_714</t>
  </si>
  <si>
    <t>SM-00715</t>
  </si>
  <si>
    <t>Mission_715</t>
  </si>
  <si>
    <t>SM-00716</t>
  </si>
  <si>
    <t>Mission_716</t>
  </si>
  <si>
    <t>SM-00717</t>
  </si>
  <si>
    <t>Mission_717</t>
  </si>
  <si>
    <t>SM-00718</t>
  </si>
  <si>
    <t>Mission_718</t>
  </si>
  <si>
    <t>SM-00719</t>
  </si>
  <si>
    <t>Mission_719</t>
  </si>
  <si>
    <t>SM-00720</t>
  </si>
  <si>
    <t>Mission_720</t>
  </si>
  <si>
    <t>SM-00721</t>
  </si>
  <si>
    <t>Mission_721</t>
  </si>
  <si>
    <t>SM-00722</t>
  </si>
  <si>
    <t>Mission_722</t>
  </si>
  <si>
    <t>SM-00723</t>
  </si>
  <si>
    <t>Mission_723</t>
  </si>
  <si>
    <t>SM-00724</t>
  </si>
  <si>
    <t>Mission_724</t>
  </si>
  <si>
    <t>SM-00725</t>
  </si>
  <si>
    <t>Mission_725</t>
  </si>
  <si>
    <t>SM-00726</t>
  </si>
  <si>
    <t>Mission_726</t>
  </si>
  <si>
    <t>SM-00727</t>
  </si>
  <si>
    <t>Mission_727</t>
  </si>
  <si>
    <t>SM-00728</t>
  </si>
  <si>
    <t>Mission_728</t>
  </si>
  <si>
    <t>SM-00729</t>
  </si>
  <si>
    <t>Mission_729</t>
  </si>
  <si>
    <t>SM-00730</t>
  </si>
  <si>
    <t>Mission_730</t>
  </si>
  <si>
    <t>SM-00731</t>
  </si>
  <si>
    <t>Mission_731</t>
  </si>
  <si>
    <t>SM-00732</t>
  </si>
  <si>
    <t>Mission_732</t>
  </si>
  <si>
    <t>SM-00733</t>
  </si>
  <si>
    <t>Mission_733</t>
  </si>
  <si>
    <t>SM-00734</t>
  </si>
  <si>
    <t>Mission_734</t>
  </si>
  <si>
    <t>SM-00735</t>
  </si>
  <si>
    <t>Mission_735</t>
  </si>
  <si>
    <t>SM-00736</t>
  </si>
  <si>
    <t>Mission_736</t>
  </si>
  <si>
    <t>SM-00737</t>
  </si>
  <si>
    <t>Mission_737</t>
  </si>
  <si>
    <t>SM-00738</t>
  </si>
  <si>
    <t>Mission_738</t>
  </si>
  <si>
    <t>SM-00739</t>
  </si>
  <si>
    <t>Mission_739</t>
  </si>
  <si>
    <t>SM-00740</t>
  </si>
  <si>
    <t>Mission_740</t>
  </si>
  <si>
    <t>SM-00741</t>
  </si>
  <si>
    <t>Mission_741</t>
  </si>
  <si>
    <t>SM-00742</t>
  </si>
  <si>
    <t>Mission_742</t>
  </si>
  <si>
    <t>SM-00743</t>
  </si>
  <si>
    <t>Mission_743</t>
  </si>
  <si>
    <t>SM-00744</t>
  </si>
  <si>
    <t>Mission_744</t>
  </si>
  <si>
    <t>SM-00745</t>
  </si>
  <si>
    <t>Mission_745</t>
  </si>
  <si>
    <t>SM-00746</t>
  </si>
  <si>
    <t>Mission_746</t>
  </si>
  <si>
    <t>SM-00747</t>
  </si>
  <si>
    <t>Mission_747</t>
  </si>
  <si>
    <t>SM-00748</t>
  </si>
  <si>
    <t>Mission_748</t>
  </si>
  <si>
    <t>SM-00749</t>
  </si>
  <si>
    <t>Mission_749</t>
  </si>
  <si>
    <t>SM-00750</t>
  </si>
  <si>
    <t>Mission_750</t>
  </si>
  <si>
    <t>SM-00751</t>
  </si>
  <si>
    <t>Mission_751</t>
  </si>
  <si>
    <t>SM-00752</t>
  </si>
  <si>
    <t>Mission_752</t>
  </si>
  <si>
    <t>SM-00753</t>
  </si>
  <si>
    <t>Mission_753</t>
  </si>
  <si>
    <t>SM-00754</t>
  </si>
  <si>
    <t>Mission_754</t>
  </si>
  <si>
    <t>SM-00755</t>
  </si>
  <si>
    <t>Mission_755</t>
  </si>
  <si>
    <t>SM-00756</t>
  </si>
  <si>
    <t>Mission_756</t>
  </si>
  <si>
    <t>SM-00757</t>
  </si>
  <si>
    <t>Mission_757</t>
  </si>
  <si>
    <t>SM-00758</t>
  </si>
  <si>
    <t>Mission_758</t>
  </si>
  <si>
    <t>SM-00759</t>
  </si>
  <si>
    <t>Mission_759</t>
  </si>
  <si>
    <t>SM-00760</t>
  </si>
  <si>
    <t>Mission_760</t>
  </si>
  <si>
    <t>SM-00761</t>
  </si>
  <si>
    <t>Mission_761</t>
  </si>
  <si>
    <t>SM-00762</t>
  </si>
  <si>
    <t>Mission_762</t>
  </si>
  <si>
    <t>SM-00763</t>
  </si>
  <si>
    <t>Mission_763</t>
  </si>
  <si>
    <t>SM-00764</t>
  </si>
  <si>
    <t>Mission_764</t>
  </si>
  <si>
    <t>SM-00765</t>
  </si>
  <si>
    <t>Mission_765</t>
  </si>
  <si>
    <t>SM-00766</t>
  </si>
  <si>
    <t>Mission_766</t>
  </si>
  <si>
    <t>SM-00767</t>
  </si>
  <si>
    <t>Mission_767</t>
  </si>
  <si>
    <t>SM-00768</t>
  </si>
  <si>
    <t>Mission_768</t>
  </si>
  <si>
    <t>SM-00769</t>
  </si>
  <si>
    <t>Mission_769</t>
  </si>
  <si>
    <t>SM-00770</t>
  </si>
  <si>
    <t>Mission_770</t>
  </si>
  <si>
    <t>SM-00771</t>
  </si>
  <si>
    <t>Mission_771</t>
  </si>
  <si>
    <t>SM-00772</t>
  </si>
  <si>
    <t>Mission_772</t>
  </si>
  <si>
    <t>SM-00773</t>
  </si>
  <si>
    <t>Mission_773</t>
  </si>
  <si>
    <t>SM-00774</t>
  </si>
  <si>
    <t>Mission_774</t>
  </si>
  <si>
    <t>SM-00775</t>
  </si>
  <si>
    <t>Mission_775</t>
  </si>
  <si>
    <t>SM-00776</t>
  </si>
  <si>
    <t>Mission_776</t>
  </si>
  <si>
    <t>SM-00777</t>
  </si>
  <si>
    <t>Mission_777</t>
  </si>
  <si>
    <t>SM-00778</t>
  </si>
  <si>
    <t>Mission_778</t>
  </si>
  <si>
    <t>SM-00779</t>
  </si>
  <si>
    <t>Mission_779</t>
  </si>
  <si>
    <t>SM-00780</t>
  </si>
  <si>
    <t>Mission_780</t>
  </si>
  <si>
    <t>SM-00781</t>
  </si>
  <si>
    <t>Mission_781</t>
  </si>
  <si>
    <t>SM-00782</t>
  </si>
  <si>
    <t>Mission_782</t>
  </si>
  <si>
    <t>SM-00783</t>
  </si>
  <si>
    <t>Mission_783</t>
  </si>
  <si>
    <t>SM-00784</t>
  </si>
  <si>
    <t>Mission_784</t>
  </si>
  <si>
    <t>SM-00785</t>
  </si>
  <si>
    <t>Mission_785</t>
  </si>
  <si>
    <t>SM-00786</t>
  </si>
  <si>
    <t>Mission_786</t>
  </si>
  <si>
    <t>SM-00787</t>
  </si>
  <si>
    <t>Mission_787</t>
  </si>
  <si>
    <t>SM-00788</t>
  </si>
  <si>
    <t>Mission_788</t>
  </si>
  <si>
    <t>SM-00789</t>
  </si>
  <si>
    <t>Mission_789</t>
  </si>
  <si>
    <t>SM-00790</t>
  </si>
  <si>
    <t>Mission_790</t>
  </si>
  <si>
    <t>SM-00791</t>
  </si>
  <si>
    <t>Mission_791</t>
  </si>
  <si>
    <t>SM-00792</t>
  </si>
  <si>
    <t>Mission_792</t>
  </si>
  <si>
    <t>SM-00793</t>
  </si>
  <si>
    <t>Mission_793</t>
  </si>
  <si>
    <t>SM-00794</t>
  </si>
  <si>
    <t>Mission_794</t>
  </si>
  <si>
    <t>SM-00795</t>
  </si>
  <si>
    <t>Mission_795</t>
  </si>
  <si>
    <t>SM-00796</t>
  </si>
  <si>
    <t>Mission_796</t>
  </si>
  <si>
    <t>SM-00797</t>
  </si>
  <si>
    <t>Mission_797</t>
  </si>
  <si>
    <t>SM-00798</t>
  </si>
  <si>
    <t>Mission_798</t>
  </si>
  <si>
    <t>SM-00799</t>
  </si>
  <si>
    <t>Mission_799</t>
  </si>
  <si>
    <t>SM-00800</t>
  </si>
  <si>
    <t>Mission_800</t>
  </si>
  <si>
    <t>SM-00801</t>
  </si>
  <si>
    <t>Mission_801</t>
  </si>
  <si>
    <t>SM-00802</t>
  </si>
  <si>
    <t>Mission_802</t>
  </si>
  <si>
    <t>SM-00803</t>
  </si>
  <si>
    <t>Mission_803</t>
  </si>
  <si>
    <t>SM-00804</t>
  </si>
  <si>
    <t>Mission_804</t>
  </si>
  <si>
    <t>SM-00805</t>
  </si>
  <si>
    <t>Mission_805</t>
  </si>
  <si>
    <t>SM-00806</t>
  </si>
  <si>
    <t>Mission_806</t>
  </si>
  <si>
    <t>SM-00807</t>
  </si>
  <si>
    <t>Mission_807</t>
  </si>
  <si>
    <t>SM-00808</t>
  </si>
  <si>
    <t>Mission_808</t>
  </si>
  <si>
    <t>SM-00809</t>
  </si>
  <si>
    <t>Mission_809</t>
  </si>
  <si>
    <t>SM-00810</t>
  </si>
  <si>
    <t>Mission_810</t>
  </si>
  <si>
    <t>SM-00811</t>
  </si>
  <si>
    <t>Mission_811</t>
  </si>
  <si>
    <t>SM-00812</t>
  </si>
  <si>
    <t>Mission_812</t>
  </si>
  <si>
    <t>SM-00813</t>
  </si>
  <si>
    <t>Mission_813</t>
  </si>
  <si>
    <t>SM-00814</t>
  </si>
  <si>
    <t>Mission_814</t>
  </si>
  <si>
    <t>SM-00815</t>
  </si>
  <si>
    <t>Mission_815</t>
  </si>
  <si>
    <t>SM-00816</t>
  </si>
  <si>
    <t>Mission_816</t>
  </si>
  <si>
    <t>SM-00817</t>
  </si>
  <si>
    <t>Mission_817</t>
  </si>
  <si>
    <t>SM-00818</t>
  </si>
  <si>
    <t>Mission_818</t>
  </si>
  <si>
    <t>SM-00819</t>
  </si>
  <si>
    <t>Mission_819</t>
  </si>
  <si>
    <t>SM-00820</t>
  </si>
  <si>
    <t>Mission_820</t>
  </si>
  <si>
    <t>SM-00821</t>
  </si>
  <si>
    <t>Mission_821</t>
  </si>
  <si>
    <t>SM-00822</t>
  </si>
  <si>
    <t>Mission_822</t>
  </si>
  <si>
    <t>SM-00823</t>
  </si>
  <si>
    <t>Mission_823</t>
  </si>
  <si>
    <t>SM-00824</t>
  </si>
  <si>
    <t>Mission_824</t>
  </si>
  <si>
    <t>SM-00825</t>
  </si>
  <si>
    <t>Mission_825</t>
  </si>
  <si>
    <t>SM-00826</t>
  </si>
  <si>
    <t>Mission_826</t>
  </si>
  <si>
    <t>SM-00827</t>
  </si>
  <si>
    <t>Mission_827</t>
  </si>
  <si>
    <t>SM-00828</t>
  </si>
  <si>
    <t>Mission_828</t>
  </si>
  <si>
    <t>SM-00829</t>
  </si>
  <si>
    <t>Mission_829</t>
  </si>
  <si>
    <t>SM-00830</t>
  </si>
  <si>
    <t>Mission_830</t>
  </si>
  <si>
    <t>SM-00831</t>
  </si>
  <si>
    <t>Mission_831</t>
  </si>
  <si>
    <t>SM-00832</t>
  </si>
  <si>
    <t>Mission_832</t>
  </si>
  <si>
    <t>SM-00833</t>
  </si>
  <si>
    <t>Mission_833</t>
  </si>
  <si>
    <t>SM-00834</t>
  </si>
  <si>
    <t>Mission_834</t>
  </si>
  <si>
    <t>SM-00835</t>
  </si>
  <si>
    <t>Mission_835</t>
  </si>
  <si>
    <t>SM-00836</t>
  </si>
  <si>
    <t>Mission_836</t>
  </si>
  <si>
    <t>SM-00837</t>
  </si>
  <si>
    <t>Mission_837</t>
  </si>
  <si>
    <t>SM-00838</t>
  </si>
  <si>
    <t>Mission_838</t>
  </si>
  <si>
    <t>SM-00839</t>
  </si>
  <si>
    <t>Mission_839</t>
  </si>
  <si>
    <t>SM-00840</t>
  </si>
  <si>
    <t>Mission_840</t>
  </si>
  <si>
    <t>SM-00841</t>
  </si>
  <si>
    <t>Mission_841</t>
  </si>
  <si>
    <t>SM-00842</t>
  </si>
  <si>
    <t>Mission_842</t>
  </si>
  <si>
    <t>SM-00843</t>
  </si>
  <si>
    <t>Mission_843</t>
  </si>
  <si>
    <t>SM-00844</t>
  </si>
  <si>
    <t>Mission_844</t>
  </si>
  <si>
    <t>SM-00845</t>
  </si>
  <si>
    <t>Mission_845</t>
  </si>
  <si>
    <t>SM-00846</t>
  </si>
  <si>
    <t>Mission_846</t>
  </si>
  <si>
    <t>SM-00847</t>
  </si>
  <si>
    <t>Mission_847</t>
  </si>
  <si>
    <t>SM-00848</t>
  </si>
  <si>
    <t>Mission_848</t>
  </si>
  <si>
    <t>SM-00849</t>
  </si>
  <si>
    <t>Mission_849</t>
  </si>
  <si>
    <t>SM-00850</t>
  </si>
  <si>
    <t>Mission_850</t>
  </si>
  <si>
    <t>SM-00851</t>
  </si>
  <si>
    <t>Mission_851</t>
  </si>
  <si>
    <t>SM-00852</t>
  </si>
  <si>
    <t>Mission_852</t>
  </si>
  <si>
    <t>SM-00853</t>
  </si>
  <si>
    <t>Mission_853</t>
  </si>
  <si>
    <t>SM-00854</t>
  </si>
  <si>
    <t>Mission_854</t>
  </si>
  <si>
    <t>SM-00855</t>
  </si>
  <si>
    <t>Mission_855</t>
  </si>
  <si>
    <t>SM-00856</t>
  </si>
  <si>
    <t>Mission_856</t>
  </si>
  <si>
    <t>SM-00857</t>
  </si>
  <si>
    <t>Mission_857</t>
  </si>
  <si>
    <t>SM-00858</t>
  </si>
  <si>
    <t>Mission_858</t>
  </si>
  <si>
    <t>SM-00859</t>
  </si>
  <si>
    <t>Mission_859</t>
  </si>
  <si>
    <t>SM-00860</t>
  </si>
  <si>
    <t>Mission_860</t>
  </si>
  <si>
    <t>SM-00861</t>
  </si>
  <si>
    <t>Mission_861</t>
  </si>
  <si>
    <t>SM-00862</t>
  </si>
  <si>
    <t>Mission_862</t>
  </si>
  <si>
    <t>SM-00863</t>
  </si>
  <si>
    <t>Mission_863</t>
  </si>
  <si>
    <t>SM-00864</t>
  </si>
  <si>
    <t>Mission_864</t>
  </si>
  <si>
    <t>SM-00865</t>
  </si>
  <si>
    <t>Mission_865</t>
  </si>
  <si>
    <t>SM-00866</t>
  </si>
  <si>
    <t>Mission_866</t>
  </si>
  <si>
    <t>SM-00867</t>
  </si>
  <si>
    <t>Mission_867</t>
  </si>
  <si>
    <t>SM-00868</t>
  </si>
  <si>
    <t>Mission_868</t>
  </si>
  <si>
    <t>SM-00869</t>
  </si>
  <si>
    <t>Mission_869</t>
  </si>
  <si>
    <t>SM-00870</t>
  </si>
  <si>
    <t>Mission_870</t>
  </si>
  <si>
    <t>SM-00871</t>
  </si>
  <si>
    <t>Mission_871</t>
  </si>
  <si>
    <t>SM-00872</t>
  </si>
  <si>
    <t>Mission_872</t>
  </si>
  <si>
    <t>SM-00873</t>
  </si>
  <si>
    <t>Mission_873</t>
  </si>
  <si>
    <t>SM-00874</t>
  </si>
  <si>
    <t>Mission_874</t>
  </si>
  <si>
    <t>SM-00875</t>
  </si>
  <si>
    <t>Mission_875</t>
  </si>
  <si>
    <t>SM-00876</t>
  </si>
  <si>
    <t>Mission_876</t>
  </si>
  <si>
    <t>SM-00877</t>
  </si>
  <si>
    <t>Mission_877</t>
  </si>
  <si>
    <t>SM-00878</t>
  </si>
  <si>
    <t>Mission_878</t>
  </si>
  <si>
    <t>SM-00879</t>
  </si>
  <si>
    <t>Mission_879</t>
  </si>
  <si>
    <t>SM-00880</t>
  </si>
  <si>
    <t>Mission_880</t>
  </si>
  <si>
    <t>SM-00881</t>
  </si>
  <si>
    <t>Mission_881</t>
  </si>
  <si>
    <t>SM-00882</t>
  </si>
  <si>
    <t>Mission_882</t>
  </si>
  <si>
    <t>SM-00883</t>
  </si>
  <si>
    <t>Mission_883</t>
  </si>
  <si>
    <t>SM-00884</t>
  </si>
  <si>
    <t>Mission_884</t>
  </si>
  <si>
    <t>SM-00885</t>
  </si>
  <si>
    <t>Mission_885</t>
  </si>
  <si>
    <t>SM-00886</t>
  </si>
  <si>
    <t>Mission_886</t>
  </si>
  <si>
    <t>SM-00887</t>
  </si>
  <si>
    <t>Mission_887</t>
  </si>
  <si>
    <t>SM-00888</t>
  </si>
  <si>
    <t>Mission_888</t>
  </si>
  <si>
    <t>SM-00889</t>
  </si>
  <si>
    <t>Mission_889</t>
  </si>
  <si>
    <t>SM-00890</t>
  </si>
  <si>
    <t>Mission_890</t>
  </si>
  <si>
    <t>SM-00891</t>
  </si>
  <si>
    <t>Mission_891</t>
  </si>
  <si>
    <t>SM-00892</t>
  </si>
  <si>
    <t>Mission_892</t>
  </si>
  <si>
    <t>SM-00893</t>
  </si>
  <si>
    <t>Mission_893</t>
  </si>
  <si>
    <t>SM-00894</t>
  </si>
  <si>
    <t>Mission_894</t>
  </si>
  <si>
    <t>SM-00895</t>
  </si>
  <si>
    <t>Mission_895</t>
  </si>
  <si>
    <t>SM-00896</t>
  </si>
  <si>
    <t>Mission_896</t>
  </si>
  <si>
    <t>SM-00897</t>
  </si>
  <si>
    <t>Mission_897</t>
  </si>
  <si>
    <t>SM-00898</t>
  </si>
  <si>
    <t>Mission_898</t>
  </si>
  <si>
    <t>SM-00899</t>
  </si>
  <si>
    <t>Mission_899</t>
  </si>
  <si>
    <t>SM-00900</t>
  </si>
  <si>
    <t>Mission_900</t>
  </si>
  <si>
    <t>SM-00901</t>
  </si>
  <si>
    <t>Mission_901</t>
  </si>
  <si>
    <t>SM-00902</t>
  </si>
  <si>
    <t>Mission_902</t>
  </si>
  <si>
    <t>SM-00903</t>
  </si>
  <si>
    <t>Mission_903</t>
  </si>
  <si>
    <t>SM-00904</t>
  </si>
  <si>
    <t>Mission_904</t>
  </si>
  <si>
    <t>SM-00905</t>
  </si>
  <si>
    <t>Mission_905</t>
  </si>
  <si>
    <t>SM-00906</t>
  </si>
  <si>
    <t>Mission_906</t>
  </si>
  <si>
    <t>SM-00907</t>
  </si>
  <si>
    <t>Mission_907</t>
  </si>
  <si>
    <t>SM-00908</t>
  </si>
  <si>
    <t>Mission_908</t>
  </si>
  <si>
    <t>SM-00909</t>
  </si>
  <si>
    <t>Mission_909</t>
  </si>
  <si>
    <t>SM-00910</t>
  </si>
  <si>
    <t>Mission_910</t>
  </si>
  <si>
    <t>SM-00911</t>
  </si>
  <si>
    <t>Mission_911</t>
  </si>
  <si>
    <t>SM-00912</t>
  </si>
  <si>
    <t>Mission_912</t>
  </si>
  <si>
    <t>SM-00913</t>
  </si>
  <si>
    <t>Mission_913</t>
  </si>
  <si>
    <t>SM-00914</t>
  </si>
  <si>
    <t>Mission_914</t>
  </si>
  <si>
    <t>SM-00915</t>
  </si>
  <si>
    <t>Mission_915</t>
  </si>
  <si>
    <t>SM-00916</t>
  </si>
  <si>
    <t>Mission_916</t>
  </si>
  <si>
    <t>SM-00917</t>
  </si>
  <si>
    <t>Mission_917</t>
  </si>
  <si>
    <t>SM-00918</t>
  </si>
  <si>
    <t>Mission_918</t>
  </si>
  <si>
    <t>SM-00919</t>
  </si>
  <si>
    <t>Mission_919</t>
  </si>
  <si>
    <t>SM-00920</t>
  </si>
  <si>
    <t>Mission_920</t>
  </si>
  <si>
    <t>SM-00921</t>
  </si>
  <si>
    <t>Mission_921</t>
  </si>
  <si>
    <t>SM-00922</t>
  </si>
  <si>
    <t>Mission_922</t>
  </si>
  <si>
    <t>SM-00923</t>
  </si>
  <si>
    <t>Mission_923</t>
  </si>
  <si>
    <t>SM-00924</t>
  </si>
  <si>
    <t>Mission_924</t>
  </si>
  <si>
    <t>SM-00925</t>
  </si>
  <si>
    <t>Mission_925</t>
  </si>
  <si>
    <t>SM-00926</t>
  </si>
  <si>
    <t>Mission_926</t>
  </si>
  <si>
    <t>SM-00927</t>
  </si>
  <si>
    <t>Mission_927</t>
  </si>
  <si>
    <t>SM-00928</t>
  </si>
  <si>
    <t>Mission_928</t>
  </si>
  <si>
    <t>SM-00929</t>
  </si>
  <si>
    <t>Mission_929</t>
  </si>
  <si>
    <t>SM-00930</t>
  </si>
  <si>
    <t>Mission_930</t>
  </si>
  <si>
    <t>SM-00931</t>
  </si>
  <si>
    <t>Mission_931</t>
  </si>
  <si>
    <t>SM-00932</t>
  </si>
  <si>
    <t>Mission_932</t>
  </si>
  <si>
    <t>SM-00933</t>
  </si>
  <si>
    <t>Mission_933</t>
  </si>
  <si>
    <t>SM-00934</t>
  </si>
  <si>
    <t>Mission_934</t>
  </si>
  <si>
    <t>SM-00935</t>
  </si>
  <si>
    <t>Mission_935</t>
  </si>
  <si>
    <t>SM-00936</t>
  </si>
  <si>
    <t>Mission_936</t>
  </si>
  <si>
    <t>SM-00937</t>
  </si>
  <si>
    <t>Mission_937</t>
  </si>
  <si>
    <t>SM-00938</t>
  </si>
  <si>
    <t>Mission_938</t>
  </si>
  <si>
    <t>SM-00939</t>
  </si>
  <si>
    <t>Mission_939</t>
  </si>
  <si>
    <t>SM-00940</t>
  </si>
  <si>
    <t>Mission_940</t>
  </si>
  <si>
    <t>SM-00941</t>
  </si>
  <si>
    <t>Mission_941</t>
  </si>
  <si>
    <t>SM-00942</t>
  </si>
  <si>
    <t>Mission_942</t>
  </si>
  <si>
    <t>SM-00943</t>
  </si>
  <si>
    <t>Mission_943</t>
  </si>
  <si>
    <t>SM-00944</t>
  </si>
  <si>
    <t>Mission_944</t>
  </si>
  <si>
    <t>SM-00945</t>
  </si>
  <si>
    <t>Mission_945</t>
  </si>
  <si>
    <t>SM-00946</t>
  </si>
  <si>
    <t>Mission_946</t>
  </si>
  <si>
    <t>SM-00947</t>
  </si>
  <si>
    <t>Mission_947</t>
  </si>
  <si>
    <t>SM-00948</t>
  </si>
  <si>
    <t>Mission_948</t>
  </si>
  <si>
    <t>SM-00949</t>
  </si>
  <si>
    <t>Mission_949</t>
  </si>
  <si>
    <t>SM-00950</t>
  </si>
  <si>
    <t>Mission_950</t>
  </si>
  <si>
    <t>SM-00951</t>
  </si>
  <si>
    <t>Mission_951</t>
  </si>
  <si>
    <t>SM-00952</t>
  </si>
  <si>
    <t>Mission_952</t>
  </si>
  <si>
    <t>SM-00953</t>
  </si>
  <si>
    <t>Mission_953</t>
  </si>
  <si>
    <t>SM-00954</t>
  </si>
  <si>
    <t>Mission_954</t>
  </si>
  <si>
    <t>SM-00955</t>
  </si>
  <si>
    <t>Mission_955</t>
  </si>
  <si>
    <t>SM-00956</t>
  </si>
  <si>
    <t>Mission_956</t>
  </si>
  <si>
    <t>SM-00957</t>
  </si>
  <si>
    <t>Mission_957</t>
  </si>
  <si>
    <t>SM-00958</t>
  </si>
  <si>
    <t>Mission_958</t>
  </si>
  <si>
    <t>SM-00959</t>
  </si>
  <si>
    <t>Mission_959</t>
  </si>
  <si>
    <t>SM-00960</t>
  </si>
  <si>
    <t>Mission_960</t>
  </si>
  <si>
    <t>SM-00961</t>
  </si>
  <si>
    <t>Mission_961</t>
  </si>
  <si>
    <t>SM-00962</t>
  </si>
  <si>
    <t>Mission_962</t>
  </si>
  <si>
    <t>SM-00963</t>
  </si>
  <si>
    <t>Mission_963</t>
  </si>
  <si>
    <t>SM-00964</t>
  </si>
  <si>
    <t>Mission_964</t>
  </si>
  <si>
    <t>SM-00965</t>
  </si>
  <si>
    <t>Mission_965</t>
  </si>
  <si>
    <t>SM-00966</t>
  </si>
  <si>
    <t>Mission_966</t>
  </si>
  <si>
    <t>SM-00967</t>
  </si>
  <si>
    <t>Mission_967</t>
  </si>
  <si>
    <t>SM-00968</t>
  </si>
  <si>
    <t>Mission_968</t>
  </si>
  <si>
    <t>SM-00969</t>
  </si>
  <si>
    <t>Mission_969</t>
  </si>
  <si>
    <t>SM-00970</t>
  </si>
  <si>
    <t>Mission_970</t>
  </si>
  <si>
    <t>SM-00971</t>
  </si>
  <si>
    <t>Mission_971</t>
  </si>
  <si>
    <t>SM-00972</t>
  </si>
  <si>
    <t>Mission_972</t>
  </si>
  <si>
    <t>SM-00973</t>
  </si>
  <si>
    <t>Mission_973</t>
  </si>
  <si>
    <t>SM-00974</t>
  </si>
  <si>
    <t>Mission_974</t>
  </si>
  <si>
    <t>SM-00975</t>
  </si>
  <si>
    <t>Mission_975</t>
  </si>
  <si>
    <t>SM-00976</t>
  </si>
  <si>
    <t>Mission_976</t>
  </si>
  <si>
    <t>SM-00977</t>
  </si>
  <si>
    <t>Mission_977</t>
  </si>
  <si>
    <t>SM-00978</t>
  </si>
  <si>
    <t>Mission_978</t>
  </si>
  <si>
    <t>SM-00979</t>
  </si>
  <si>
    <t>Mission_979</t>
  </si>
  <si>
    <t>SM-00980</t>
  </si>
  <si>
    <t>Mission_980</t>
  </si>
  <si>
    <t>SM-00981</t>
  </si>
  <si>
    <t>Mission_981</t>
  </si>
  <si>
    <t>SM-00982</t>
  </si>
  <si>
    <t>Mission_982</t>
  </si>
  <si>
    <t>SM-00983</t>
  </si>
  <si>
    <t>Mission_983</t>
  </si>
  <si>
    <t>SM-00984</t>
  </si>
  <si>
    <t>Mission_984</t>
  </si>
  <si>
    <t>SM-00985</t>
  </si>
  <si>
    <t>Mission_985</t>
  </si>
  <si>
    <t>SM-00986</t>
  </si>
  <si>
    <t>Mission_986</t>
  </si>
  <si>
    <t>SM-00987</t>
  </si>
  <si>
    <t>Mission_987</t>
  </si>
  <si>
    <t>SM-00988</t>
  </si>
  <si>
    <t>Mission_988</t>
  </si>
  <si>
    <t>SM-00989</t>
  </si>
  <si>
    <t>Mission_989</t>
  </si>
  <si>
    <t>SM-00990</t>
  </si>
  <si>
    <t>Mission_990</t>
  </si>
  <si>
    <t>SM-00991</t>
  </si>
  <si>
    <t>Mission_991</t>
  </si>
  <si>
    <t>SM-00992</t>
  </si>
  <si>
    <t>Mission_992</t>
  </si>
  <si>
    <t>SM-00993</t>
  </si>
  <si>
    <t>Mission_993</t>
  </si>
  <si>
    <t>SM-00994</t>
  </si>
  <si>
    <t>Mission_994</t>
  </si>
  <si>
    <t>SM-00995</t>
  </si>
  <si>
    <t>Mission_995</t>
  </si>
  <si>
    <t>SM-00996</t>
  </si>
  <si>
    <t>Mission_996</t>
  </si>
  <si>
    <t>SM-00997</t>
  </si>
  <si>
    <t>Mission_997</t>
  </si>
  <si>
    <t>SM-00998</t>
  </si>
  <si>
    <t>Mission_998</t>
  </si>
  <si>
    <t>SM-00999</t>
  </si>
  <si>
    <t>Mission_999</t>
  </si>
  <si>
    <t>SM-01000</t>
  </si>
  <si>
    <t>Mission_1000</t>
  </si>
  <si>
    <t>SM-01001</t>
  </si>
  <si>
    <t>Mission_1001</t>
  </si>
  <si>
    <t>SM-01002</t>
  </si>
  <si>
    <t>Mission_1002</t>
  </si>
  <si>
    <t>SM-01003</t>
  </si>
  <si>
    <t>Mission_1003</t>
  </si>
  <si>
    <t>SM-01004</t>
  </si>
  <si>
    <t>Mission_1004</t>
  </si>
  <si>
    <t>SM-01005</t>
  </si>
  <si>
    <t>Mission_1005</t>
  </si>
  <si>
    <t>SM-01006</t>
  </si>
  <si>
    <t>Mission_1006</t>
  </si>
  <si>
    <t>SM-01007</t>
  </si>
  <si>
    <t>Mission_1007</t>
  </si>
  <si>
    <t>SM-01008</t>
  </si>
  <si>
    <t>Mission_1008</t>
  </si>
  <si>
    <t>SM-01009</t>
  </si>
  <si>
    <t>Mission_1009</t>
  </si>
  <si>
    <t>SM-01010</t>
  </si>
  <si>
    <t>Mission_1010</t>
  </si>
  <si>
    <t>SM-01011</t>
  </si>
  <si>
    <t>Mission_1011</t>
  </si>
  <si>
    <t>SM-01012</t>
  </si>
  <si>
    <t>Mission_1012</t>
  </si>
  <si>
    <t>SM-01013</t>
  </si>
  <si>
    <t>Mission_1013</t>
  </si>
  <si>
    <t>SM-01014</t>
  </si>
  <si>
    <t>Mission_1014</t>
  </si>
  <si>
    <t>SM-01015</t>
  </si>
  <si>
    <t>Mission_1015</t>
  </si>
  <si>
    <t>SM-01016</t>
  </si>
  <si>
    <t>Mission_1016</t>
  </si>
  <si>
    <t>SM-01017</t>
  </si>
  <si>
    <t>Mission_1017</t>
  </si>
  <si>
    <t>SM-01018</t>
  </si>
  <si>
    <t>Mission_1018</t>
  </si>
  <si>
    <t>SM-01019</t>
  </si>
  <si>
    <t>Mission_1019</t>
  </si>
  <si>
    <t>SM-01020</t>
  </si>
  <si>
    <t>Mission_1020</t>
  </si>
  <si>
    <t>SM-01021</t>
  </si>
  <si>
    <t>Mission_1021</t>
  </si>
  <si>
    <t>SM-01022</t>
  </si>
  <si>
    <t>Mission_1022</t>
  </si>
  <si>
    <t>SM-01023</t>
  </si>
  <si>
    <t>Mission_1023</t>
  </si>
  <si>
    <t>SM-01024</t>
  </si>
  <si>
    <t>Mission_1024</t>
  </si>
  <si>
    <t>SM-01025</t>
  </si>
  <si>
    <t>Mission_1025</t>
  </si>
  <si>
    <t>SM-01026</t>
  </si>
  <si>
    <t>Mission_1026</t>
  </si>
  <si>
    <t>SM-01027</t>
  </si>
  <si>
    <t>Mission_1027</t>
  </si>
  <si>
    <t>SM-01028</t>
  </si>
  <si>
    <t>Mission_1028</t>
  </si>
  <si>
    <t>SM-01029</t>
  </si>
  <si>
    <t>Mission_1029</t>
  </si>
  <si>
    <t>SM-01030</t>
  </si>
  <si>
    <t>Mission_1030</t>
  </si>
  <si>
    <t>SM-01031</t>
  </si>
  <si>
    <t>Mission_1031</t>
  </si>
  <si>
    <t>SM-01032</t>
  </si>
  <si>
    <t>Mission_1032</t>
  </si>
  <si>
    <t>SM-01033</t>
  </si>
  <si>
    <t>Mission_1033</t>
  </si>
  <si>
    <t>SM-01034</t>
  </si>
  <si>
    <t>Mission_1034</t>
  </si>
  <si>
    <t>SM-01035</t>
  </si>
  <si>
    <t>Mission_1035</t>
  </si>
  <si>
    <t>SM-01036</t>
  </si>
  <si>
    <t>Mission_1036</t>
  </si>
  <si>
    <t>SM-01037</t>
  </si>
  <si>
    <t>Mission_1037</t>
  </si>
  <si>
    <t>SM-01038</t>
  </si>
  <si>
    <t>Mission_1038</t>
  </si>
  <si>
    <t>SM-01039</t>
  </si>
  <si>
    <t>Mission_1039</t>
  </si>
  <si>
    <t>SM-01040</t>
  </si>
  <si>
    <t>Mission_1040</t>
  </si>
  <si>
    <t>SM-01041</t>
  </si>
  <si>
    <t>Mission_1041</t>
  </si>
  <si>
    <t>SM-01042</t>
  </si>
  <si>
    <t>Mission_1042</t>
  </si>
  <si>
    <t>SM-01043</t>
  </si>
  <si>
    <t>Mission_1043</t>
  </si>
  <si>
    <t>SM-01044</t>
  </si>
  <si>
    <t>Mission_1044</t>
  </si>
  <si>
    <t>SM-01045</t>
  </si>
  <si>
    <t>Mission_1045</t>
  </si>
  <si>
    <t>SM-01046</t>
  </si>
  <si>
    <t>Mission_1046</t>
  </si>
  <si>
    <t>SM-01047</t>
  </si>
  <si>
    <t>Mission_1047</t>
  </si>
  <si>
    <t>SM-01048</t>
  </si>
  <si>
    <t>Mission_1048</t>
  </si>
  <si>
    <t>SM-01049</t>
  </si>
  <si>
    <t>Mission_1049</t>
  </si>
  <si>
    <t>SM-01050</t>
  </si>
  <si>
    <t>Mission_1050</t>
  </si>
  <si>
    <t>SM-01051</t>
  </si>
  <si>
    <t>Mission_1051</t>
  </si>
  <si>
    <t>SM-01052</t>
  </si>
  <si>
    <t>Mission_1052</t>
  </si>
  <si>
    <t>SM-01053</t>
  </si>
  <si>
    <t>Mission_1053</t>
  </si>
  <si>
    <t>SM-01054</t>
  </si>
  <si>
    <t>Mission_1054</t>
  </si>
  <si>
    <t>SM-01055</t>
  </si>
  <si>
    <t>Mission_1055</t>
  </si>
  <si>
    <t>SM-01056</t>
  </si>
  <si>
    <t>Mission_1056</t>
  </si>
  <si>
    <t>SM-01057</t>
  </si>
  <si>
    <t>Mission_1057</t>
  </si>
  <si>
    <t>SM-01058</t>
  </si>
  <si>
    <t>Mission_1058</t>
  </si>
  <si>
    <t>SM-01059</t>
  </si>
  <si>
    <t>Mission_1059</t>
  </si>
  <si>
    <t>SM-01060</t>
  </si>
  <si>
    <t>Mission_1060</t>
  </si>
  <si>
    <t>SM-01061</t>
  </si>
  <si>
    <t>Mission_1061</t>
  </si>
  <si>
    <t>SM-01062</t>
  </si>
  <si>
    <t>Mission_1062</t>
  </si>
  <si>
    <t>SM-01063</t>
  </si>
  <si>
    <t>Mission_1063</t>
  </si>
  <si>
    <t>SM-01064</t>
  </si>
  <si>
    <t>Mission_1064</t>
  </si>
  <si>
    <t>SM-01065</t>
  </si>
  <si>
    <t>Mission_1065</t>
  </si>
  <si>
    <t>SM-01066</t>
  </si>
  <si>
    <t>Mission_1066</t>
  </si>
  <si>
    <t>SM-01067</t>
  </si>
  <si>
    <t>Mission_1067</t>
  </si>
  <si>
    <t>SM-01068</t>
  </si>
  <si>
    <t>Mission_1068</t>
  </si>
  <si>
    <t>SM-01069</t>
  </si>
  <si>
    <t>Mission_1069</t>
  </si>
  <si>
    <t>SM-01070</t>
  </si>
  <si>
    <t>Mission_1070</t>
  </si>
  <si>
    <t>SM-01071</t>
  </si>
  <si>
    <t>Mission_1071</t>
  </si>
  <si>
    <t>SM-01072</t>
  </si>
  <si>
    <t>Mission_1072</t>
  </si>
  <si>
    <t>SM-01073</t>
  </si>
  <si>
    <t>Mission_1073</t>
  </si>
  <si>
    <t>SM-01074</t>
  </si>
  <si>
    <t>Mission_1074</t>
  </si>
  <si>
    <t>SM-01075</t>
  </si>
  <si>
    <t>Mission_1075</t>
  </si>
  <si>
    <t>SM-01076</t>
  </si>
  <si>
    <t>Mission_1076</t>
  </si>
  <si>
    <t>SM-01077</t>
  </si>
  <si>
    <t>Mission_1077</t>
  </si>
  <si>
    <t>SM-01078</t>
  </si>
  <si>
    <t>Mission_1078</t>
  </si>
  <si>
    <t>SM-01079</t>
  </si>
  <si>
    <t>Mission_1079</t>
  </si>
  <si>
    <t>SM-01080</t>
  </si>
  <si>
    <t>Mission_1080</t>
  </si>
  <si>
    <t>SM-01081</t>
  </si>
  <si>
    <t>Mission_1081</t>
  </si>
  <si>
    <t>SM-01082</t>
  </si>
  <si>
    <t>Mission_1082</t>
  </si>
  <si>
    <t>SM-01083</t>
  </si>
  <si>
    <t>Mission_1083</t>
  </si>
  <si>
    <t>SM-01084</t>
  </si>
  <si>
    <t>Mission_1084</t>
  </si>
  <si>
    <t>SM-01085</t>
  </si>
  <si>
    <t>Mission_1085</t>
  </si>
  <si>
    <t>SM-01086</t>
  </si>
  <si>
    <t>Mission_1086</t>
  </si>
  <si>
    <t>SM-01087</t>
  </si>
  <si>
    <t>Mission_1087</t>
  </si>
  <si>
    <t>SM-01088</t>
  </si>
  <si>
    <t>Mission_1088</t>
  </si>
  <si>
    <t>SM-01089</t>
  </si>
  <si>
    <t>Mission_1089</t>
  </si>
  <si>
    <t>SM-01090</t>
  </si>
  <si>
    <t>Mission_1090</t>
  </si>
  <si>
    <t>SM-01091</t>
  </si>
  <si>
    <t>Mission_1091</t>
  </si>
  <si>
    <t>SM-01092</t>
  </si>
  <si>
    <t>Mission_1092</t>
  </si>
  <si>
    <t>SM-01093</t>
  </si>
  <si>
    <t>Mission_1093</t>
  </si>
  <si>
    <t>SM-01094</t>
  </si>
  <si>
    <t>Mission_1094</t>
  </si>
  <si>
    <t>SM-01095</t>
  </si>
  <si>
    <t>Mission_1095</t>
  </si>
  <si>
    <t>SM-01096</t>
  </si>
  <si>
    <t>Mission_1096</t>
  </si>
  <si>
    <t>SM-01097</t>
  </si>
  <si>
    <t>Mission_1097</t>
  </si>
  <si>
    <t>SM-01098</t>
  </si>
  <si>
    <t>Mission_1098</t>
  </si>
  <si>
    <t>SM-01099</t>
  </si>
  <si>
    <t>Mission_1099</t>
  </si>
  <si>
    <t>SM-01100</t>
  </si>
  <si>
    <t>Mission_1100</t>
  </si>
  <si>
    <t>SM-01101</t>
  </si>
  <si>
    <t>Mission_1101</t>
  </si>
  <si>
    <t>SM-01102</t>
  </si>
  <si>
    <t>Mission_1102</t>
  </si>
  <si>
    <t>SM-01103</t>
  </si>
  <si>
    <t>Mission_1103</t>
  </si>
  <si>
    <t>SM-01104</t>
  </si>
  <si>
    <t>Mission_1104</t>
  </si>
  <si>
    <t>SM-01105</t>
  </si>
  <si>
    <t>Mission_1105</t>
  </si>
  <si>
    <t>SM-01106</t>
  </si>
  <si>
    <t>Mission_1106</t>
  </si>
  <si>
    <t>SM-01107</t>
  </si>
  <si>
    <t>Mission_1107</t>
  </si>
  <si>
    <t>SM-01108</t>
  </si>
  <si>
    <t>Mission_1108</t>
  </si>
  <si>
    <t>SM-01109</t>
  </si>
  <si>
    <t>Mission_1109</t>
  </si>
  <si>
    <t>SM-01110</t>
  </si>
  <si>
    <t>Mission_1110</t>
  </si>
  <si>
    <t>SM-01111</t>
  </si>
  <si>
    <t>Mission_1111</t>
  </si>
  <si>
    <t>SM-01112</t>
  </si>
  <si>
    <t>Mission_1112</t>
  </si>
  <si>
    <t>SM-01113</t>
  </si>
  <si>
    <t>Mission_1113</t>
  </si>
  <si>
    <t>SM-01114</t>
  </si>
  <si>
    <t>Mission_1114</t>
  </si>
  <si>
    <t>SM-01115</t>
  </si>
  <si>
    <t>Mission_1115</t>
  </si>
  <si>
    <t>SM-01116</t>
  </si>
  <si>
    <t>Mission_1116</t>
  </si>
  <si>
    <t>SM-01117</t>
  </si>
  <si>
    <t>Mission_1117</t>
  </si>
  <si>
    <t>SM-01118</t>
  </si>
  <si>
    <t>Mission_1118</t>
  </si>
  <si>
    <t>SM-01119</t>
  </si>
  <si>
    <t>Mission_1119</t>
  </si>
  <si>
    <t>SM-01120</t>
  </si>
  <si>
    <t>Mission_1120</t>
  </si>
  <si>
    <t>SM-01121</t>
  </si>
  <si>
    <t>Mission_1121</t>
  </si>
  <si>
    <t>SM-01122</t>
  </si>
  <si>
    <t>Mission_1122</t>
  </si>
  <si>
    <t>SM-01123</t>
  </si>
  <si>
    <t>Mission_1123</t>
  </si>
  <si>
    <t>SM-01124</t>
  </si>
  <si>
    <t>Mission_1124</t>
  </si>
  <si>
    <t>SM-01125</t>
  </si>
  <si>
    <t>Mission_1125</t>
  </si>
  <si>
    <t>SM-01126</t>
  </si>
  <si>
    <t>Mission_1126</t>
  </si>
  <si>
    <t>SM-01127</t>
  </si>
  <si>
    <t>Mission_1127</t>
  </si>
  <si>
    <t>SM-01128</t>
  </si>
  <si>
    <t>Mission_1128</t>
  </si>
  <si>
    <t>SM-01129</t>
  </si>
  <si>
    <t>Mission_1129</t>
  </si>
  <si>
    <t>SM-01130</t>
  </si>
  <si>
    <t>Mission_1130</t>
  </si>
  <si>
    <t>SM-01131</t>
  </si>
  <si>
    <t>Mission_1131</t>
  </si>
  <si>
    <t>SM-01132</t>
  </si>
  <si>
    <t>Mission_1132</t>
  </si>
  <si>
    <t>SM-01133</t>
  </si>
  <si>
    <t>Mission_1133</t>
  </si>
  <si>
    <t>SM-01134</t>
  </si>
  <si>
    <t>Mission_1134</t>
  </si>
  <si>
    <t>SM-01135</t>
  </si>
  <si>
    <t>Mission_1135</t>
  </si>
  <si>
    <t>SM-01136</t>
  </si>
  <si>
    <t>Mission_1136</t>
  </si>
  <si>
    <t>SM-01137</t>
  </si>
  <si>
    <t>Mission_1137</t>
  </si>
  <si>
    <t>SM-01138</t>
  </si>
  <si>
    <t>Mission_1138</t>
  </si>
  <si>
    <t>SM-01139</t>
  </si>
  <si>
    <t>Mission_1139</t>
  </si>
  <si>
    <t>SM-01140</t>
  </si>
  <si>
    <t>Mission_1140</t>
  </si>
  <si>
    <t>SM-01141</t>
  </si>
  <si>
    <t>Mission_1141</t>
  </si>
  <si>
    <t>SM-01142</t>
  </si>
  <si>
    <t>Mission_1142</t>
  </si>
  <si>
    <t>SM-01143</t>
  </si>
  <si>
    <t>Mission_1143</t>
  </si>
  <si>
    <t>SM-01144</t>
  </si>
  <si>
    <t>Mission_1144</t>
  </si>
  <si>
    <t>SM-01145</t>
  </si>
  <si>
    <t>Mission_1145</t>
  </si>
  <si>
    <t>SM-01146</t>
  </si>
  <si>
    <t>Mission_1146</t>
  </si>
  <si>
    <t>SM-01147</t>
  </si>
  <si>
    <t>Mission_1147</t>
  </si>
  <si>
    <t>SM-01148</t>
  </si>
  <si>
    <t>Mission_1148</t>
  </si>
  <si>
    <t>SM-01149</t>
  </si>
  <si>
    <t>Mission_1149</t>
  </si>
  <si>
    <t>SM-01150</t>
  </si>
  <si>
    <t>Mission_1150</t>
  </si>
  <si>
    <t>SM-01151</t>
  </si>
  <si>
    <t>Mission_1151</t>
  </si>
  <si>
    <t>SM-01152</t>
  </si>
  <si>
    <t>Mission_1152</t>
  </si>
  <si>
    <t>SM-01153</t>
  </si>
  <si>
    <t>Mission_1153</t>
  </si>
  <si>
    <t>SM-01154</t>
  </si>
  <si>
    <t>Mission_1154</t>
  </si>
  <si>
    <t>SM-01155</t>
  </si>
  <si>
    <t>Mission_1155</t>
  </si>
  <si>
    <t>SM-01156</t>
  </si>
  <si>
    <t>Mission_1156</t>
  </si>
  <si>
    <t>SM-01157</t>
  </si>
  <si>
    <t>Mission_1157</t>
  </si>
  <si>
    <t>SM-01158</t>
  </si>
  <si>
    <t>Mission_1158</t>
  </si>
  <si>
    <t>SM-01159</t>
  </si>
  <si>
    <t>Mission_1159</t>
  </si>
  <si>
    <t>SM-01160</t>
  </si>
  <si>
    <t>Mission_1160</t>
  </si>
  <si>
    <t>SM-01161</t>
  </si>
  <si>
    <t>Mission_1161</t>
  </si>
  <si>
    <t>SM-01162</t>
  </si>
  <si>
    <t>Mission_1162</t>
  </si>
  <si>
    <t>SM-01163</t>
  </si>
  <si>
    <t>Mission_1163</t>
  </si>
  <si>
    <t>SM-01164</t>
  </si>
  <si>
    <t>Mission_1164</t>
  </si>
  <si>
    <t>SM-01165</t>
  </si>
  <si>
    <t>Mission_1165</t>
  </si>
  <si>
    <t>SM-01166</t>
  </si>
  <si>
    <t>Mission_1166</t>
  </si>
  <si>
    <t>SM-01167</t>
  </si>
  <si>
    <t>Mission_1167</t>
  </si>
  <si>
    <t>SM-01168</t>
  </si>
  <si>
    <t>Mission_1168</t>
  </si>
  <si>
    <t>SM-01169</t>
  </si>
  <si>
    <t>Mission_1169</t>
  </si>
  <si>
    <t>SM-01170</t>
  </si>
  <si>
    <t>Mission_1170</t>
  </si>
  <si>
    <t>SM-01171</t>
  </si>
  <si>
    <t>Mission_1171</t>
  </si>
  <si>
    <t>SM-01172</t>
  </si>
  <si>
    <t>Mission_1172</t>
  </si>
  <si>
    <t>SM-01173</t>
  </si>
  <si>
    <t>Mission_1173</t>
  </si>
  <si>
    <t>SM-01174</t>
  </si>
  <si>
    <t>Mission_1174</t>
  </si>
  <si>
    <t>SM-01175</t>
  </si>
  <si>
    <t>Mission_1175</t>
  </si>
  <si>
    <t>SM-01176</t>
  </si>
  <si>
    <t>Mission_1176</t>
  </si>
  <si>
    <t>SM-01177</t>
  </si>
  <si>
    <t>Mission_1177</t>
  </si>
  <si>
    <t>SM-01178</t>
  </si>
  <si>
    <t>Mission_1178</t>
  </si>
  <si>
    <t>SM-01179</t>
  </si>
  <si>
    <t>Mission_1179</t>
  </si>
  <si>
    <t>SM-01180</t>
  </si>
  <si>
    <t>Mission_1180</t>
  </si>
  <si>
    <t>SM-01181</t>
  </si>
  <si>
    <t>Mission_1181</t>
  </si>
  <si>
    <t>SM-01182</t>
  </si>
  <si>
    <t>Mission_1182</t>
  </si>
  <si>
    <t>SM-01183</t>
  </si>
  <si>
    <t>Mission_1183</t>
  </si>
  <si>
    <t>SM-01184</t>
  </si>
  <si>
    <t>Mission_1184</t>
  </si>
  <si>
    <t>SM-01185</t>
  </si>
  <si>
    <t>Mission_1185</t>
  </si>
  <si>
    <t>SM-01186</t>
  </si>
  <si>
    <t>Mission_1186</t>
  </si>
  <si>
    <t>SM-01187</t>
  </si>
  <si>
    <t>Mission_1187</t>
  </si>
  <si>
    <t>SM-01188</t>
  </si>
  <si>
    <t>Mission_1188</t>
  </si>
  <si>
    <t>SM-01189</t>
  </si>
  <si>
    <t>Mission_1189</t>
  </si>
  <si>
    <t>SM-01190</t>
  </si>
  <si>
    <t>Mission_1190</t>
  </si>
  <si>
    <t>SM-01191</t>
  </si>
  <si>
    <t>Mission_1191</t>
  </si>
  <si>
    <t>SM-01192</t>
  </si>
  <si>
    <t>Mission_1192</t>
  </si>
  <si>
    <t>SM-01193</t>
  </si>
  <si>
    <t>Mission_1193</t>
  </si>
  <si>
    <t>SM-01194</t>
  </si>
  <si>
    <t>Mission_1194</t>
  </si>
  <si>
    <t>SM-01195</t>
  </si>
  <si>
    <t>Mission_1195</t>
  </si>
  <si>
    <t>SM-01196</t>
  </si>
  <si>
    <t>Mission_1196</t>
  </si>
  <si>
    <t>SM-01197</t>
  </si>
  <si>
    <t>Mission_1197</t>
  </si>
  <si>
    <t>SM-01198</t>
  </si>
  <si>
    <t>Mission_1198</t>
  </si>
  <si>
    <t>SM-01199</t>
  </si>
  <si>
    <t>Mission_1199</t>
  </si>
  <si>
    <t>SM-01200</t>
  </si>
  <si>
    <t>Mission_1200</t>
  </si>
  <si>
    <t>Row Labels</t>
  </si>
  <si>
    <t>Grand Total</t>
  </si>
  <si>
    <t>Count of Mission_ID</t>
  </si>
  <si>
    <t>2010</t>
  </si>
  <si>
    <t>2011</t>
  </si>
  <si>
    <t>2012</t>
  </si>
  <si>
    <t>2013</t>
  </si>
  <si>
    <t>2014</t>
  </si>
  <si>
    <t>2015</t>
  </si>
  <si>
    <t>2016</t>
  </si>
  <si>
    <t>2017</t>
  </si>
  <si>
    <t>2018</t>
  </si>
  <si>
    <t>2019</t>
  </si>
  <si>
    <t>2020</t>
  </si>
  <si>
    <t>2021</t>
  </si>
  <si>
    <t>2022</t>
  </si>
  <si>
    <t>2023</t>
  </si>
  <si>
    <t>2024</t>
  </si>
  <si>
    <t>2025</t>
  </si>
  <si>
    <t>2026</t>
  </si>
  <si>
    <t>total mission</t>
  </si>
  <si>
    <t>total budget</t>
  </si>
  <si>
    <t>total payload</t>
  </si>
  <si>
    <t>average mission duration</t>
  </si>
  <si>
    <t>success rate</t>
  </si>
  <si>
    <t>Sum of Budget_Million_USD</t>
  </si>
  <si>
    <t>Count of Mission_Name</t>
  </si>
  <si>
    <t>AVERAGE</t>
  </si>
  <si>
    <t>Average of Mission_Duration_Days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</si>
</sst>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xf numFmtId="10" fontId="0" fillId="0" borderId="0" xfId="0" applyNumberFormat="1"/>
  </cellXfs>
  <cellStyles count="1">
    <cellStyle name="Normal" xfId="0" builtinId="0"/>
  </cellStyles>
  <dxfs count="4">
    <dxf>
      <numFmt numFmtId="164" formatCode="yyyy/mm/dd;@"/>
    </dxf>
    <dxf>
      <font>
        <b val="0"/>
        <i val="0"/>
        <sz val="10"/>
        <color theme="0"/>
        <name val="Bahnschrift SemiBold"/>
        <family val="2"/>
        <scheme val="none"/>
      </font>
      <fill>
        <patternFill>
          <bgColor rgb="FFCC0099"/>
        </patternFill>
      </fill>
      <border diagonalUp="0" diagonalDown="0">
        <left/>
        <right/>
        <top/>
        <bottom/>
        <vertical/>
        <horizontal/>
      </border>
    </dxf>
    <dxf>
      <font>
        <b val="0"/>
        <i val="0"/>
        <u val="none"/>
        <sz val="10"/>
        <color theme="0"/>
        <name val="Calibri"/>
        <family val="2"/>
        <scheme val="minor"/>
      </font>
      <fill>
        <patternFill patternType="solid">
          <fgColor auto="1"/>
          <bgColor theme="1"/>
        </patternFill>
      </fill>
    </dxf>
    <dxf>
      <font>
        <sz val="12"/>
        <name val="Bahnschrift SemiBold SemiConden"/>
        <family val="2"/>
        <scheme val="none"/>
      </font>
      <fill>
        <gradientFill degree="90">
          <stop position="0">
            <color theme="1"/>
          </stop>
          <stop position="1">
            <color rgb="FF002060"/>
          </stop>
        </gradientFill>
      </fill>
    </dxf>
  </dxfs>
  <tableStyles count="4" defaultTableStyle="TableStyleMedium9" defaultPivotStyle="PivotStyleLight16">
    <tableStyle name="MySlicer" pivot="0" table="0" count="0" xr9:uid="{88D9E4A0-D1FF-4CD7-9376-D1956E047D03}"/>
    <tableStyle name="Slicer Style 1" pivot="0" table="0" count="1" xr9:uid="{7271CC1A-8C92-4184-8DAB-88211ECC8283}">
      <tableStyleElement type="wholeTable" dxfId="3"/>
    </tableStyle>
    <tableStyle name="Slicer Style 2" pivot="0" table="0" count="1" xr9:uid="{624AD2A8-9C69-4F8E-9104-62FC4619338B}">
      <tableStyleElement type="wholeTable" dxfId="2"/>
    </tableStyle>
    <tableStyle name="Slicer Style 3" pivot="0" table="0" count="1" xr9:uid="{3A6729EF-2693-4443-ACB0-3A1169B59D5F}">
      <tableStyleElement type="wholeTable" dxfId="1"/>
    </tableStyle>
  </tableStyles>
  <colors>
    <mruColors>
      <color rgb="FFFF33CC"/>
      <color rgb="FFFF4B94"/>
      <color rgb="FFCC0099"/>
      <color rgb="FF9F28A8"/>
      <color rgb="FF00CC99"/>
      <color rgb="FFBC8F00"/>
      <color rgb="FFCC9B00"/>
      <color rgb="FF475EEB"/>
      <color rgb="FF292929"/>
      <color rgb="FF122442"/>
    </mruColors>
  </colors>
  <extLst>
    <ext xmlns:x14="http://schemas.microsoft.com/office/spreadsheetml/2009/9/main" uri="{EB79DEF2-80B8-43e5-95BD-54CBDDF9020C}">
      <x14:slicerStyles defaultSlicerStyle="SlicerStyleLight1">
        <x14:slicerStyle name="MySlicer"/>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Table!mission by agency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Missions by Agency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Table'!$A$7:$A$14</c:f>
              <c:strCache>
                <c:ptCount val="7"/>
                <c:pt idx="0">
                  <c:v>CNSA</c:v>
                </c:pt>
                <c:pt idx="1">
                  <c:v>ESA</c:v>
                </c:pt>
                <c:pt idx="2">
                  <c:v>ISRO</c:v>
                </c:pt>
                <c:pt idx="3">
                  <c:v>JAXA</c:v>
                </c:pt>
                <c:pt idx="4">
                  <c:v>NASA</c:v>
                </c:pt>
                <c:pt idx="5">
                  <c:v>Roscosmos</c:v>
                </c:pt>
                <c:pt idx="6">
                  <c:v>SpaceX</c:v>
                </c:pt>
              </c:strCache>
            </c:strRef>
          </c:cat>
          <c:val>
            <c:numRef>
              <c:f>'Pivot Table'!$B$7:$B$14</c:f>
              <c:numCache>
                <c:formatCode>General</c:formatCode>
                <c:ptCount val="7"/>
                <c:pt idx="0">
                  <c:v>158</c:v>
                </c:pt>
                <c:pt idx="1">
                  <c:v>184</c:v>
                </c:pt>
                <c:pt idx="2">
                  <c:v>165</c:v>
                </c:pt>
                <c:pt idx="3">
                  <c:v>163</c:v>
                </c:pt>
                <c:pt idx="4">
                  <c:v>186</c:v>
                </c:pt>
                <c:pt idx="5">
                  <c:v>173</c:v>
                </c:pt>
                <c:pt idx="6">
                  <c:v>171</c:v>
                </c:pt>
              </c:numCache>
            </c:numRef>
          </c:val>
          <c:extLst>
            <c:ext xmlns:c16="http://schemas.microsoft.com/office/drawing/2014/chart" uri="{C3380CC4-5D6E-409C-BE32-E72D297353CC}">
              <c16:uniqueId val="{00000000-9702-443C-B485-C07FDE08A9C7}"/>
            </c:ext>
          </c:extLst>
        </c:ser>
        <c:dLbls>
          <c:dLblPos val="outEnd"/>
          <c:showLegendKey val="0"/>
          <c:showVal val="1"/>
          <c:showCatName val="0"/>
          <c:showSerName val="0"/>
          <c:showPercent val="0"/>
          <c:showBubbleSize val="0"/>
        </c:dLbls>
        <c:gapWidth val="219"/>
        <c:overlap val="-27"/>
        <c:axId val="637886768"/>
        <c:axId val="637888080"/>
      </c:barChart>
      <c:catAx>
        <c:axId val="63788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88080"/>
        <c:crosses val="autoZero"/>
        <c:auto val="1"/>
        <c:lblAlgn val="ctr"/>
        <c:lblOffset val="100"/>
        <c:noMultiLvlLbl val="0"/>
      </c:catAx>
      <c:valAx>
        <c:axId val="6378880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788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Table!budget by agency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Budget by Agency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Table'!$A$23:$A$30</c:f>
              <c:strCache>
                <c:ptCount val="7"/>
                <c:pt idx="0">
                  <c:v>CNSA</c:v>
                </c:pt>
                <c:pt idx="1">
                  <c:v>ESA</c:v>
                </c:pt>
                <c:pt idx="2">
                  <c:v>ISRO</c:v>
                </c:pt>
                <c:pt idx="3">
                  <c:v>JAXA</c:v>
                </c:pt>
                <c:pt idx="4">
                  <c:v>NASA</c:v>
                </c:pt>
                <c:pt idx="5">
                  <c:v>Roscosmos</c:v>
                </c:pt>
                <c:pt idx="6">
                  <c:v>SpaceX</c:v>
                </c:pt>
              </c:strCache>
            </c:strRef>
          </c:cat>
          <c:val>
            <c:numRef>
              <c:f>'Pivot Table'!$B$23:$B$30</c:f>
              <c:numCache>
                <c:formatCode>General</c:formatCode>
                <c:ptCount val="7"/>
                <c:pt idx="0">
                  <c:v>398899.14000000036</c:v>
                </c:pt>
                <c:pt idx="1">
                  <c:v>487315.37000000034</c:v>
                </c:pt>
                <c:pt idx="2">
                  <c:v>467690.05999999994</c:v>
                </c:pt>
                <c:pt idx="3">
                  <c:v>435492.99999999988</c:v>
                </c:pt>
                <c:pt idx="4">
                  <c:v>451148.61999999994</c:v>
                </c:pt>
                <c:pt idx="5">
                  <c:v>432777.43999999994</c:v>
                </c:pt>
                <c:pt idx="6">
                  <c:v>435387.40999999992</c:v>
                </c:pt>
              </c:numCache>
            </c:numRef>
          </c:val>
          <c:extLst>
            <c:ext xmlns:c16="http://schemas.microsoft.com/office/drawing/2014/chart" uri="{C3380CC4-5D6E-409C-BE32-E72D297353CC}">
              <c16:uniqueId val="{00000000-E48D-4FC4-9B41-6C18C656F010}"/>
            </c:ext>
          </c:extLst>
        </c:ser>
        <c:dLbls>
          <c:dLblPos val="outEnd"/>
          <c:showLegendKey val="0"/>
          <c:showVal val="1"/>
          <c:showCatName val="0"/>
          <c:showSerName val="0"/>
          <c:showPercent val="0"/>
          <c:showBubbleSize val="0"/>
        </c:dLbls>
        <c:gapWidth val="182"/>
        <c:axId val="627848416"/>
        <c:axId val="627848744"/>
      </c:barChart>
      <c:catAx>
        <c:axId val="627848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48744"/>
        <c:crosses val="autoZero"/>
        <c:auto val="1"/>
        <c:lblAlgn val="ctr"/>
        <c:lblOffset val="100"/>
        <c:noMultiLvlLbl val="0"/>
      </c:catAx>
      <c:valAx>
        <c:axId val="6278487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784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Table!launch status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Launch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A2-411D-9F12-CD676BBD82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A2-411D-9F12-CD676BBD82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A2-411D-9F12-CD676BBD82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Table'!$A$37:$A$40</c:f>
              <c:strCache>
                <c:ptCount val="3"/>
                <c:pt idx="0">
                  <c:v>Failure</c:v>
                </c:pt>
                <c:pt idx="1">
                  <c:v>Partial Success</c:v>
                </c:pt>
                <c:pt idx="2">
                  <c:v>Success</c:v>
                </c:pt>
              </c:strCache>
            </c:strRef>
          </c:cat>
          <c:val>
            <c:numRef>
              <c:f>'Pivot Table'!$B$37:$B$40</c:f>
              <c:numCache>
                <c:formatCode>General</c:formatCode>
                <c:ptCount val="3"/>
                <c:pt idx="0">
                  <c:v>373</c:v>
                </c:pt>
                <c:pt idx="1">
                  <c:v>400</c:v>
                </c:pt>
                <c:pt idx="2">
                  <c:v>427</c:v>
                </c:pt>
              </c:numCache>
            </c:numRef>
          </c:val>
          <c:extLst>
            <c:ext xmlns:c16="http://schemas.microsoft.com/office/drawing/2014/chart" uri="{C3380CC4-5D6E-409C-BE32-E72D297353CC}">
              <c16:uniqueId val="{00000000-E213-4C79-A1CD-A784051D167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Table!mission by destion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Missions by Destination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66E-2"/>
              <c:y val="-6.01851851851852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5704"/>
                    <a:gd name="adj2" fmla="val -64250"/>
                  </a:avLst>
                </a:prstGeom>
                <a:noFill/>
                <a:ln>
                  <a:noFill/>
                </a:ln>
              </c15:spPr>
            </c:ext>
          </c:extLst>
        </c:dLbl>
      </c:pivotFmt>
      <c:pivotFmt>
        <c:idx val="2"/>
        <c:spPr>
          <a:solidFill>
            <a:schemeClr val="accent1"/>
          </a:solidFill>
          <a:ln w="19050">
            <a:solidFill>
              <a:schemeClr val="lt1"/>
            </a:solidFill>
          </a:ln>
          <a:effectLst/>
        </c:spPr>
        <c:dLbl>
          <c:idx val="0"/>
          <c:layout>
            <c:manualLayout>
              <c:x val="8.611111111111111E-2"/>
              <c:y val="-8.4875562720133283E-17"/>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5.2777777777777778E-2"/>
              <c:y val="0.1064814814814813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4999999999999997E-2"/>
              <c:y val="8.333333333333332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611111111111111E-2"/>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4908"/>
                    <a:gd name="adj2" fmla="val -4759"/>
                  </a:avLst>
                </a:prstGeom>
                <a:noFill/>
                <a:ln>
                  <a:noFill/>
                </a:ln>
              </c15:spPr>
            </c:ext>
          </c:extLst>
        </c:dLbl>
      </c:pivotFmt>
      <c:pivotFmt>
        <c:idx val="6"/>
        <c:spPr>
          <a:solidFill>
            <a:schemeClr val="accent1"/>
          </a:solidFill>
          <a:ln w="19050">
            <a:solidFill>
              <a:schemeClr val="lt1"/>
            </a:solidFill>
          </a:ln>
          <a:effectLst/>
        </c:spPr>
        <c:dLbl>
          <c:idx val="0"/>
          <c:layout>
            <c:manualLayout>
              <c:x val="-6.3888888888888884E-2"/>
              <c:y val="-8.333333333333332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549168853893262"/>
          <c:y val="0.31251239428404781"/>
          <c:w val="0.35240048118985129"/>
          <c:h val="0.58733413531641876"/>
        </c:manualLayout>
      </c:layout>
      <c:doughnutChart>
        <c:varyColors val="1"/>
        <c:ser>
          <c:idx val="0"/>
          <c:order val="0"/>
          <c:tx>
            <c:strRef>
              <c:f>'Pivot Table'!$B$52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88-4AB5-958D-0FF232D425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88-4AB5-958D-0FF232D425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88-4AB5-958D-0FF232D425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88-4AB5-958D-0FF232D4259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888-4AB5-958D-0FF232D4259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888-4AB5-958D-0FF232D4259B}"/>
              </c:ext>
            </c:extLst>
          </c:dPt>
          <c:dLbls>
            <c:dLbl>
              <c:idx val="0"/>
              <c:layout>
                <c:manualLayout>
                  <c:x val="9.166666666666666E-2"/>
                  <c:y val="-6.01851851851852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5704"/>
                        <a:gd name="adj2" fmla="val -64250"/>
                      </a:avLst>
                    </a:prstGeom>
                    <a:noFill/>
                    <a:ln>
                      <a:noFill/>
                    </a:ln>
                  </c15:spPr>
                </c:ext>
                <c:ext xmlns:c16="http://schemas.microsoft.com/office/drawing/2014/chart" uri="{C3380CC4-5D6E-409C-BE32-E72D297353CC}">
                  <c16:uniqueId val="{00000001-5888-4AB5-958D-0FF232D4259B}"/>
                </c:ext>
              </c:extLst>
            </c:dLbl>
            <c:dLbl>
              <c:idx val="1"/>
              <c:layout>
                <c:manualLayout>
                  <c:x val="8.611111111111111E-2"/>
                  <c:y val="-8.4875562720133283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88-4AB5-958D-0FF232D4259B}"/>
                </c:ext>
              </c:extLst>
            </c:dLbl>
            <c:dLbl>
              <c:idx val="2"/>
              <c:layout>
                <c:manualLayout>
                  <c:x val="5.2777777777777778E-2"/>
                  <c:y val="0.106481481481481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888-4AB5-958D-0FF232D4259B}"/>
                </c:ext>
              </c:extLst>
            </c:dLbl>
            <c:dLbl>
              <c:idx val="3"/>
              <c:layout>
                <c:manualLayout>
                  <c:x val="-7.4999999999999997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888-4AB5-958D-0FF232D4259B}"/>
                </c:ext>
              </c:extLst>
            </c:dLbl>
            <c:dLbl>
              <c:idx val="4"/>
              <c:layout>
                <c:manualLayout>
                  <c:x val="-8.611111111111111E-2"/>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4908"/>
                        <a:gd name="adj2" fmla="val -4759"/>
                      </a:avLst>
                    </a:prstGeom>
                    <a:noFill/>
                    <a:ln>
                      <a:noFill/>
                    </a:ln>
                  </c15:spPr>
                </c:ext>
                <c:ext xmlns:c16="http://schemas.microsoft.com/office/drawing/2014/chart" uri="{C3380CC4-5D6E-409C-BE32-E72D297353CC}">
                  <c16:uniqueId val="{00000009-5888-4AB5-958D-0FF232D4259B}"/>
                </c:ext>
              </c:extLst>
            </c:dLbl>
            <c:dLbl>
              <c:idx val="5"/>
              <c:layout>
                <c:manualLayout>
                  <c:x val="-6.3888888888888884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888-4AB5-958D-0FF232D4259B}"/>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Table'!$A$53:$A$59</c:f>
              <c:strCache>
                <c:ptCount val="6"/>
                <c:pt idx="0">
                  <c:v>Asteroid Belt</c:v>
                </c:pt>
                <c:pt idx="1">
                  <c:v>GEO</c:v>
                </c:pt>
                <c:pt idx="2">
                  <c:v>ISS</c:v>
                </c:pt>
                <c:pt idx="3">
                  <c:v>LEO</c:v>
                </c:pt>
                <c:pt idx="4">
                  <c:v>Mars</c:v>
                </c:pt>
                <c:pt idx="5">
                  <c:v>Moon</c:v>
                </c:pt>
              </c:strCache>
            </c:strRef>
          </c:cat>
          <c:val>
            <c:numRef>
              <c:f>'Pivot Table'!$B$53:$B$59</c:f>
              <c:numCache>
                <c:formatCode>General</c:formatCode>
                <c:ptCount val="6"/>
                <c:pt idx="0">
                  <c:v>186</c:v>
                </c:pt>
                <c:pt idx="1">
                  <c:v>185</c:v>
                </c:pt>
                <c:pt idx="2">
                  <c:v>201</c:v>
                </c:pt>
                <c:pt idx="3">
                  <c:v>223</c:v>
                </c:pt>
                <c:pt idx="4">
                  <c:v>199</c:v>
                </c:pt>
                <c:pt idx="5">
                  <c:v>206</c:v>
                </c:pt>
              </c:numCache>
            </c:numRef>
          </c:val>
          <c:extLst>
            <c:ext xmlns:c16="http://schemas.microsoft.com/office/drawing/2014/chart" uri="{C3380CC4-5D6E-409C-BE32-E72D297353CC}">
              <c16:uniqueId val="{00000000-160F-4E7E-8133-965E53B6D45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Table!mission by destination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Missions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2.2424979724249797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Table'!$B$68</c:f>
              <c:strCache>
                <c:ptCount val="1"/>
                <c:pt idx="0">
                  <c:v>Total</c:v>
                </c:pt>
              </c:strCache>
            </c:strRef>
          </c:tx>
          <c:spPr>
            <a:ln w="28575" cap="rnd">
              <a:solidFill>
                <a:schemeClr val="accent1"/>
              </a:solidFill>
              <a:round/>
            </a:ln>
            <a:effectLst/>
          </c:spPr>
          <c:marker>
            <c:symbol val="none"/>
          </c:marker>
          <c:dPt>
            <c:idx val="16"/>
            <c:marker>
              <c:symbol val="none"/>
            </c:marker>
            <c:bubble3D val="0"/>
            <c:spPr>
              <a:ln w="28575" cap="rnd">
                <a:solidFill>
                  <a:schemeClr val="accent1"/>
                </a:solidFill>
                <a:round/>
              </a:ln>
              <a:effectLst/>
            </c:spPr>
            <c:extLst>
              <c:ext xmlns:c16="http://schemas.microsoft.com/office/drawing/2014/chart" uri="{C3380CC4-5D6E-409C-BE32-E72D297353CC}">
                <c16:uniqueId val="{00000002-71A7-491B-9DA3-674794882A0C}"/>
              </c:ext>
            </c:extLst>
          </c:dPt>
          <c:dLbls>
            <c:dLbl>
              <c:idx val="16"/>
              <c:layout>
                <c:manualLayout>
                  <c:x val="-2.2424979724249797E-2"/>
                  <c:y val="-9.0243146689997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A7-491B-9DA3-674794882A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Table'!$A$69:$A$86</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'Pivot Table'!$B$69:$B$86</c:f>
              <c:numCache>
                <c:formatCode>General</c:formatCode>
                <c:ptCount val="17"/>
                <c:pt idx="0">
                  <c:v>64</c:v>
                </c:pt>
                <c:pt idx="1">
                  <c:v>59</c:v>
                </c:pt>
                <c:pt idx="2">
                  <c:v>69</c:v>
                </c:pt>
                <c:pt idx="3">
                  <c:v>61</c:v>
                </c:pt>
                <c:pt idx="4">
                  <c:v>86</c:v>
                </c:pt>
                <c:pt idx="5">
                  <c:v>77</c:v>
                </c:pt>
                <c:pt idx="6">
                  <c:v>72</c:v>
                </c:pt>
                <c:pt idx="7">
                  <c:v>82</c:v>
                </c:pt>
                <c:pt idx="8">
                  <c:v>70</c:v>
                </c:pt>
                <c:pt idx="9">
                  <c:v>83</c:v>
                </c:pt>
                <c:pt idx="10">
                  <c:v>69</c:v>
                </c:pt>
                <c:pt idx="11">
                  <c:v>74</c:v>
                </c:pt>
                <c:pt idx="12">
                  <c:v>75</c:v>
                </c:pt>
                <c:pt idx="13">
                  <c:v>81</c:v>
                </c:pt>
                <c:pt idx="14">
                  <c:v>64</c:v>
                </c:pt>
                <c:pt idx="15">
                  <c:v>78</c:v>
                </c:pt>
                <c:pt idx="16">
                  <c:v>36</c:v>
                </c:pt>
              </c:numCache>
            </c:numRef>
          </c:val>
          <c:smooth val="0"/>
          <c:extLst>
            <c:ext xmlns:c16="http://schemas.microsoft.com/office/drawing/2014/chart" uri="{C3380CC4-5D6E-409C-BE32-E72D297353CC}">
              <c16:uniqueId val="{00000000-71A7-491B-9DA3-674794882A0C}"/>
            </c:ext>
          </c:extLst>
        </c:ser>
        <c:dLbls>
          <c:dLblPos val="t"/>
          <c:showLegendKey val="0"/>
          <c:showVal val="1"/>
          <c:showCatName val="0"/>
          <c:showSerName val="0"/>
          <c:showPercent val="0"/>
          <c:showBubbleSize val="0"/>
        </c:dLbls>
        <c:smooth val="0"/>
        <c:axId val="633819736"/>
        <c:axId val="633824000"/>
      </c:lineChart>
      <c:catAx>
        <c:axId val="633819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824000"/>
        <c:crosses val="autoZero"/>
        <c:auto val="1"/>
        <c:lblAlgn val="ctr"/>
        <c:lblOffset val="100"/>
        <c:noMultiLvlLbl val="0"/>
      </c:catAx>
      <c:valAx>
        <c:axId val="633824000"/>
        <c:scaling>
          <c:orientation val="minMax"/>
        </c:scaling>
        <c:delete val="1"/>
        <c:axPos val="l"/>
        <c:numFmt formatCode="General" sourceLinked="1"/>
        <c:majorTickMark val="none"/>
        <c:minorTickMark val="none"/>
        <c:tickLblPos val="nextTo"/>
        <c:crossAx val="633819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Table!mission type analysis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Mission Type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Table'!$A$89:$A$95</c:f>
              <c:strCache>
                <c:ptCount val="6"/>
                <c:pt idx="0">
                  <c:v>Deep Space</c:v>
                </c:pt>
                <c:pt idx="1">
                  <c:v>Earth Observation</c:v>
                </c:pt>
                <c:pt idx="2">
                  <c:v>ISS Resupply</c:v>
                </c:pt>
                <c:pt idx="3">
                  <c:v>Lunar</c:v>
                </c:pt>
                <c:pt idx="4">
                  <c:v>Mars</c:v>
                </c:pt>
                <c:pt idx="5">
                  <c:v>Satellite</c:v>
                </c:pt>
              </c:strCache>
            </c:strRef>
          </c:cat>
          <c:val>
            <c:numRef>
              <c:f>'Pivot Table'!$B$89:$B$95</c:f>
              <c:numCache>
                <c:formatCode>General</c:formatCode>
                <c:ptCount val="6"/>
                <c:pt idx="0">
                  <c:v>198</c:v>
                </c:pt>
                <c:pt idx="1">
                  <c:v>213</c:v>
                </c:pt>
                <c:pt idx="2">
                  <c:v>223</c:v>
                </c:pt>
                <c:pt idx="3">
                  <c:v>188</c:v>
                </c:pt>
                <c:pt idx="4">
                  <c:v>188</c:v>
                </c:pt>
                <c:pt idx="5">
                  <c:v>190</c:v>
                </c:pt>
              </c:numCache>
            </c:numRef>
          </c:val>
          <c:extLst>
            <c:ext xmlns:c16="http://schemas.microsoft.com/office/drawing/2014/chart" uri="{C3380CC4-5D6E-409C-BE32-E72D297353CC}">
              <c16:uniqueId val="{00000000-B80F-4D1E-9000-F257D0F4CA96}"/>
            </c:ext>
          </c:extLst>
        </c:ser>
        <c:dLbls>
          <c:dLblPos val="outEnd"/>
          <c:showLegendKey val="0"/>
          <c:showVal val="1"/>
          <c:showCatName val="0"/>
          <c:showSerName val="0"/>
          <c:showPercent val="0"/>
          <c:showBubbleSize val="0"/>
        </c:dLbls>
        <c:gapWidth val="219"/>
        <c:overlap val="-27"/>
        <c:axId val="404363416"/>
        <c:axId val="404368008"/>
      </c:barChart>
      <c:catAx>
        <c:axId val="404363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368008"/>
        <c:crosses val="autoZero"/>
        <c:auto val="1"/>
        <c:lblAlgn val="ctr"/>
        <c:lblOffset val="100"/>
        <c:noMultiLvlLbl val="0"/>
      </c:catAx>
      <c:valAx>
        <c:axId val="4043680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04363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Table!count analysis</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Country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Table'!$A$103:$A$109</c:f>
              <c:strCache>
                <c:ptCount val="6"/>
                <c:pt idx="0">
                  <c:v>China</c:v>
                </c:pt>
                <c:pt idx="1">
                  <c:v>France</c:v>
                </c:pt>
                <c:pt idx="2">
                  <c:v>India</c:v>
                </c:pt>
                <c:pt idx="3">
                  <c:v>Japan</c:v>
                </c:pt>
                <c:pt idx="4">
                  <c:v>Russia</c:v>
                </c:pt>
                <c:pt idx="5">
                  <c:v>USA</c:v>
                </c:pt>
              </c:strCache>
            </c:strRef>
          </c:cat>
          <c:val>
            <c:numRef>
              <c:f>'Pivot Table'!$B$103:$B$109</c:f>
              <c:numCache>
                <c:formatCode>General</c:formatCode>
                <c:ptCount val="6"/>
                <c:pt idx="0">
                  <c:v>208</c:v>
                </c:pt>
                <c:pt idx="1">
                  <c:v>208</c:v>
                </c:pt>
                <c:pt idx="2">
                  <c:v>194</c:v>
                </c:pt>
                <c:pt idx="3">
                  <c:v>195</c:v>
                </c:pt>
                <c:pt idx="4">
                  <c:v>198</c:v>
                </c:pt>
                <c:pt idx="5">
                  <c:v>197</c:v>
                </c:pt>
              </c:numCache>
            </c:numRef>
          </c:val>
          <c:extLst>
            <c:ext xmlns:c16="http://schemas.microsoft.com/office/drawing/2014/chart" uri="{C3380CC4-5D6E-409C-BE32-E72D297353CC}">
              <c16:uniqueId val="{00000000-5FB3-46C8-A964-E16B5C7BEFD5}"/>
            </c:ext>
          </c:extLst>
        </c:ser>
        <c:dLbls>
          <c:dLblPos val="outEnd"/>
          <c:showLegendKey val="0"/>
          <c:showVal val="1"/>
          <c:showCatName val="0"/>
          <c:showSerName val="0"/>
          <c:showPercent val="0"/>
          <c:showBubbleSize val="0"/>
        </c:dLbls>
        <c:gapWidth val="182"/>
        <c:axId val="755078648"/>
        <c:axId val="755072416"/>
      </c:barChart>
      <c:catAx>
        <c:axId val="755078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072416"/>
        <c:crosses val="autoZero"/>
        <c:auto val="1"/>
        <c:lblAlgn val="ctr"/>
        <c:lblOffset val="100"/>
        <c:noMultiLvlLbl val="0"/>
      </c:catAx>
      <c:valAx>
        <c:axId val="7550724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5078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Mission Duration by Agency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Table'!$A$119:$A$126</c:f>
              <c:strCache>
                <c:ptCount val="7"/>
                <c:pt idx="0">
                  <c:v>CNSA</c:v>
                </c:pt>
                <c:pt idx="1">
                  <c:v>ESA</c:v>
                </c:pt>
                <c:pt idx="2">
                  <c:v>ISRO</c:v>
                </c:pt>
                <c:pt idx="3">
                  <c:v>JAXA</c:v>
                </c:pt>
                <c:pt idx="4">
                  <c:v>NASA</c:v>
                </c:pt>
                <c:pt idx="5">
                  <c:v>Roscosmos</c:v>
                </c:pt>
                <c:pt idx="6">
                  <c:v>SpaceX</c:v>
                </c:pt>
              </c:strCache>
            </c:strRef>
          </c:cat>
          <c:val>
            <c:numRef>
              <c:f>'Pivot Table'!$B$119:$B$126</c:f>
              <c:numCache>
                <c:formatCode>General</c:formatCode>
                <c:ptCount val="7"/>
                <c:pt idx="0">
                  <c:v>736.66455696202536</c:v>
                </c:pt>
                <c:pt idx="1">
                  <c:v>727.60869565217388</c:v>
                </c:pt>
                <c:pt idx="2">
                  <c:v>741.26060606060605</c:v>
                </c:pt>
                <c:pt idx="3">
                  <c:v>748.7361963190184</c:v>
                </c:pt>
                <c:pt idx="4">
                  <c:v>728.44623655913983</c:v>
                </c:pt>
                <c:pt idx="5">
                  <c:v>748.83815028901734</c:v>
                </c:pt>
                <c:pt idx="6">
                  <c:v>752.52631578947364</c:v>
                </c:pt>
              </c:numCache>
            </c:numRef>
          </c:val>
          <c:extLst>
            <c:ext xmlns:c16="http://schemas.microsoft.com/office/drawing/2014/chart" uri="{C3380CC4-5D6E-409C-BE32-E72D297353CC}">
              <c16:uniqueId val="{00000000-2C5A-4667-BFCA-255115A5DF84}"/>
            </c:ext>
          </c:extLst>
        </c:ser>
        <c:dLbls>
          <c:dLblPos val="outEnd"/>
          <c:showLegendKey val="0"/>
          <c:showVal val="1"/>
          <c:showCatName val="0"/>
          <c:showSerName val="0"/>
          <c:showPercent val="0"/>
          <c:showBubbleSize val="0"/>
        </c:dLbls>
        <c:gapWidth val="182"/>
        <c:axId val="705019040"/>
        <c:axId val="705022648"/>
      </c:barChart>
      <c:catAx>
        <c:axId val="705019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022648"/>
        <c:crosses val="autoZero"/>
        <c:auto val="1"/>
        <c:lblAlgn val="ctr"/>
        <c:lblOffset val="100"/>
        <c:noMultiLvlLbl val="0"/>
      </c:catAx>
      <c:valAx>
        <c:axId val="705022648"/>
        <c:scaling>
          <c:orientation val="minMax"/>
        </c:scaling>
        <c:delete val="1"/>
        <c:axPos val="b"/>
        <c:numFmt formatCode="General" sourceLinked="1"/>
        <c:majorTickMark val="none"/>
        <c:minorTickMark val="none"/>
        <c:tickLblPos val="nextTo"/>
        <c:crossAx val="70501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Table!mission by agency</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i="0" u="none" strike="noStrike" baseline="0">
                <a:solidFill>
                  <a:schemeClr val="bg1"/>
                </a:solidFill>
              </a:rPr>
              <a:t>Missions by Agency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F28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rgbClr val="9F28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Table'!$A$7:$A$14</c:f>
              <c:strCache>
                <c:ptCount val="7"/>
                <c:pt idx="0">
                  <c:v>CNSA</c:v>
                </c:pt>
                <c:pt idx="1">
                  <c:v>ESA</c:v>
                </c:pt>
                <c:pt idx="2">
                  <c:v>ISRO</c:v>
                </c:pt>
                <c:pt idx="3">
                  <c:v>JAXA</c:v>
                </c:pt>
                <c:pt idx="4">
                  <c:v>NASA</c:v>
                </c:pt>
                <c:pt idx="5">
                  <c:v>Roscosmos</c:v>
                </c:pt>
                <c:pt idx="6">
                  <c:v>SpaceX</c:v>
                </c:pt>
              </c:strCache>
            </c:strRef>
          </c:cat>
          <c:val>
            <c:numRef>
              <c:f>'Pivot Table'!$B$7:$B$14</c:f>
              <c:numCache>
                <c:formatCode>General</c:formatCode>
                <c:ptCount val="7"/>
                <c:pt idx="0">
                  <c:v>158</c:v>
                </c:pt>
                <c:pt idx="1">
                  <c:v>184</c:v>
                </c:pt>
                <c:pt idx="2">
                  <c:v>165</c:v>
                </c:pt>
                <c:pt idx="3">
                  <c:v>163</c:v>
                </c:pt>
                <c:pt idx="4">
                  <c:v>186</c:v>
                </c:pt>
                <c:pt idx="5">
                  <c:v>173</c:v>
                </c:pt>
                <c:pt idx="6">
                  <c:v>171</c:v>
                </c:pt>
              </c:numCache>
            </c:numRef>
          </c:val>
          <c:extLst>
            <c:ext xmlns:c16="http://schemas.microsoft.com/office/drawing/2014/chart" uri="{C3380CC4-5D6E-409C-BE32-E72D297353CC}">
              <c16:uniqueId val="{00000000-7237-4BC2-B830-4477B7B880B2}"/>
            </c:ext>
          </c:extLst>
        </c:ser>
        <c:dLbls>
          <c:dLblPos val="outEnd"/>
          <c:showLegendKey val="0"/>
          <c:showVal val="1"/>
          <c:showCatName val="0"/>
          <c:showSerName val="0"/>
          <c:showPercent val="0"/>
          <c:showBubbleSize val="0"/>
        </c:dLbls>
        <c:gapWidth val="219"/>
        <c:overlap val="-27"/>
        <c:axId val="637886768"/>
        <c:axId val="637888080"/>
      </c:barChart>
      <c:catAx>
        <c:axId val="637886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7888080"/>
        <c:crosses val="autoZero"/>
        <c:auto val="1"/>
        <c:lblAlgn val="ctr"/>
        <c:lblOffset val="100"/>
        <c:noMultiLvlLbl val="0"/>
      </c:catAx>
      <c:valAx>
        <c:axId val="637888080"/>
        <c:scaling>
          <c:orientation val="minMax"/>
        </c:scaling>
        <c:delete val="1"/>
        <c:axPos val="l"/>
        <c:numFmt formatCode="General" sourceLinked="1"/>
        <c:majorTickMark val="none"/>
        <c:minorTickMark val="none"/>
        <c:tickLblPos val="nextTo"/>
        <c:crossAx val="63788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rnd" cmpd="sng" algn="ctr">
      <a:solidFill>
        <a:schemeClr val="bg1"/>
      </a:solidFill>
      <a:round/>
    </a:ln>
    <a:effectLst>
      <a:glow rad="101600">
        <a:schemeClr val="bg1">
          <a:alpha val="15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Table!budget by agency</c:name>
    <c:fmtId val="25"/>
  </c:pivotSource>
  <c:chart>
    <c:title>
      <c:tx>
        <c:rich>
          <a:bodyPr rot="0" spcFirstLastPara="1" vertOverflow="ellipsis" vert="horz" wrap="square" anchor="ctr" anchorCtr="1"/>
          <a:lstStyle/>
          <a:p>
            <a:pPr>
              <a:defRPr sz="1400" b="1" i="0" u="none" strike="noStrike" kern="1200" spc="0" baseline="0">
                <a:solidFill>
                  <a:schemeClr val="bg1"/>
                </a:solidFill>
                <a:effectLst/>
                <a:latin typeface="+mn-lt"/>
                <a:ea typeface="+mn-ea"/>
                <a:cs typeface="+mn-cs"/>
              </a:defRPr>
            </a:pPr>
            <a:r>
              <a:rPr lang="en-US" sz="1400" b="1" i="0" u="none" strike="noStrike" baseline="0">
                <a:solidFill>
                  <a:schemeClr val="bg1"/>
                </a:solidFill>
                <a:effectLst/>
              </a:rPr>
              <a:t>Budget by Agency</a:t>
            </a:r>
            <a:endParaRPr lang="en-US" b="1">
              <a:solidFill>
                <a:schemeClr val="bg1"/>
              </a:solidFill>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c:f>
              <c:strCache>
                <c:ptCount val="1"/>
                <c:pt idx="0">
                  <c:v>Total</c:v>
                </c:pt>
              </c:strCache>
            </c:strRef>
          </c:tx>
          <c:spPr>
            <a:solidFill>
              <a:srgbClr val="FF33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Table'!$A$23:$A$30</c:f>
              <c:strCache>
                <c:ptCount val="7"/>
                <c:pt idx="0">
                  <c:v>CNSA</c:v>
                </c:pt>
                <c:pt idx="1">
                  <c:v>ESA</c:v>
                </c:pt>
                <c:pt idx="2">
                  <c:v>ISRO</c:v>
                </c:pt>
                <c:pt idx="3">
                  <c:v>JAXA</c:v>
                </c:pt>
                <c:pt idx="4">
                  <c:v>NASA</c:v>
                </c:pt>
                <c:pt idx="5">
                  <c:v>Roscosmos</c:v>
                </c:pt>
                <c:pt idx="6">
                  <c:v>SpaceX</c:v>
                </c:pt>
              </c:strCache>
            </c:strRef>
          </c:cat>
          <c:val>
            <c:numRef>
              <c:f>'Pivot Table'!$B$23:$B$30</c:f>
              <c:numCache>
                <c:formatCode>General</c:formatCode>
                <c:ptCount val="7"/>
                <c:pt idx="0">
                  <c:v>398899.14000000036</c:v>
                </c:pt>
                <c:pt idx="1">
                  <c:v>487315.37000000034</c:v>
                </c:pt>
                <c:pt idx="2">
                  <c:v>467690.05999999994</c:v>
                </c:pt>
                <c:pt idx="3">
                  <c:v>435492.99999999988</c:v>
                </c:pt>
                <c:pt idx="4">
                  <c:v>451148.61999999994</c:v>
                </c:pt>
                <c:pt idx="5">
                  <c:v>432777.43999999994</c:v>
                </c:pt>
                <c:pt idx="6">
                  <c:v>435387.40999999992</c:v>
                </c:pt>
              </c:numCache>
            </c:numRef>
          </c:val>
          <c:extLst>
            <c:ext xmlns:c16="http://schemas.microsoft.com/office/drawing/2014/chart" uri="{C3380CC4-5D6E-409C-BE32-E72D297353CC}">
              <c16:uniqueId val="{00000000-6DFB-483C-8B79-6FBF065F51AD}"/>
            </c:ext>
          </c:extLst>
        </c:ser>
        <c:dLbls>
          <c:dLblPos val="outEnd"/>
          <c:showLegendKey val="0"/>
          <c:showVal val="1"/>
          <c:showCatName val="0"/>
          <c:showSerName val="0"/>
          <c:showPercent val="0"/>
          <c:showBubbleSize val="0"/>
        </c:dLbls>
        <c:gapWidth val="182"/>
        <c:axId val="627848416"/>
        <c:axId val="627848744"/>
      </c:barChart>
      <c:catAx>
        <c:axId val="627848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848744"/>
        <c:crosses val="autoZero"/>
        <c:auto val="1"/>
        <c:lblAlgn val="ctr"/>
        <c:lblOffset val="100"/>
        <c:noMultiLvlLbl val="0"/>
      </c:catAx>
      <c:valAx>
        <c:axId val="627848744"/>
        <c:scaling>
          <c:orientation val="minMax"/>
        </c:scaling>
        <c:delete val="1"/>
        <c:axPos val="b"/>
        <c:numFmt formatCode="General" sourceLinked="1"/>
        <c:majorTickMark val="none"/>
        <c:minorTickMark val="none"/>
        <c:tickLblPos val="nextTo"/>
        <c:crossAx val="62784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101600">
        <a:schemeClr val="bg1">
          <a:alpha val="15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Table!launch status</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Launch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FF4B94"/>
          </a:solidFill>
          <a:ln w="19050">
            <a:solidFill>
              <a:schemeClr val="lt1"/>
            </a:solidFill>
          </a:ln>
          <a:effectLst/>
        </c:spPr>
        <c:dLbl>
          <c:idx val="0"/>
          <c:layout>
            <c:manualLayout>
              <c:x val="6.5968542874358495E-3"/>
              <c:y val="-5.000000000000005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9F28A8"/>
          </a:solidFill>
          <a:ln w="19050">
            <a:solidFill>
              <a:schemeClr val="lt1"/>
            </a:solidFill>
          </a:ln>
          <a:effectLst/>
        </c:spPr>
        <c:dLbl>
          <c:idx val="0"/>
          <c:layout>
            <c:manualLayout>
              <c:x val="0.13193708574871699"/>
              <c:y val="-1.666666666666666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00B0F0"/>
          </a:solidFill>
          <a:ln w="19050">
            <a:solidFill>
              <a:schemeClr val="lt1"/>
            </a:solidFill>
          </a:ln>
          <a:effectLst/>
        </c:spPr>
        <c:dLbl>
          <c:idx val="0"/>
          <c:layout>
            <c:manualLayout>
              <c:x val="-1.6492135718589655E-2"/>
              <c:y val="-5.555555555555555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Table'!$B$36</c:f>
              <c:strCache>
                <c:ptCount val="1"/>
                <c:pt idx="0">
                  <c:v>Total</c:v>
                </c:pt>
              </c:strCache>
            </c:strRef>
          </c:tx>
          <c:dPt>
            <c:idx val="0"/>
            <c:bubble3D val="0"/>
            <c:spPr>
              <a:solidFill>
                <a:srgbClr val="FF4B94"/>
              </a:solidFill>
              <a:ln w="19050">
                <a:solidFill>
                  <a:schemeClr val="lt1"/>
                </a:solidFill>
              </a:ln>
              <a:effectLst/>
            </c:spPr>
            <c:extLst>
              <c:ext xmlns:c16="http://schemas.microsoft.com/office/drawing/2014/chart" uri="{C3380CC4-5D6E-409C-BE32-E72D297353CC}">
                <c16:uniqueId val="{00000001-7911-446F-9926-39B320B09B5F}"/>
              </c:ext>
            </c:extLst>
          </c:dPt>
          <c:dPt>
            <c:idx val="1"/>
            <c:bubble3D val="0"/>
            <c:spPr>
              <a:solidFill>
                <a:srgbClr val="9F28A8"/>
              </a:solidFill>
              <a:ln w="19050">
                <a:solidFill>
                  <a:schemeClr val="lt1"/>
                </a:solidFill>
              </a:ln>
              <a:effectLst/>
            </c:spPr>
            <c:extLst>
              <c:ext xmlns:c16="http://schemas.microsoft.com/office/drawing/2014/chart" uri="{C3380CC4-5D6E-409C-BE32-E72D297353CC}">
                <c16:uniqueId val="{00000003-7911-446F-9926-39B320B09B5F}"/>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7911-446F-9926-39B320B09B5F}"/>
              </c:ext>
            </c:extLst>
          </c:dPt>
          <c:dLbls>
            <c:dLbl>
              <c:idx val="0"/>
              <c:layout>
                <c:manualLayout>
                  <c:x val="6.5968542874358495E-3"/>
                  <c:y val="-5.00000000000000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11-446F-9926-39B320B09B5F}"/>
                </c:ext>
              </c:extLst>
            </c:dLbl>
            <c:dLbl>
              <c:idx val="1"/>
              <c:layout>
                <c:manualLayout>
                  <c:x val="0.13193708574871699"/>
                  <c:y val="-1.666666666666666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11-446F-9926-39B320B09B5F}"/>
                </c:ext>
              </c:extLst>
            </c:dLbl>
            <c:dLbl>
              <c:idx val="2"/>
              <c:layout>
                <c:manualLayout>
                  <c:x val="-1.6492135718589655E-2"/>
                  <c:y val="-5.555555555555555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11-446F-9926-39B320B09B5F}"/>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Table'!$A$37:$A$40</c:f>
              <c:strCache>
                <c:ptCount val="3"/>
                <c:pt idx="0">
                  <c:v>Failure</c:v>
                </c:pt>
                <c:pt idx="1">
                  <c:v>Partial Success</c:v>
                </c:pt>
                <c:pt idx="2">
                  <c:v>Success</c:v>
                </c:pt>
              </c:strCache>
            </c:strRef>
          </c:cat>
          <c:val>
            <c:numRef>
              <c:f>'Pivot Table'!$B$37:$B$40</c:f>
              <c:numCache>
                <c:formatCode>General</c:formatCode>
                <c:ptCount val="3"/>
                <c:pt idx="0">
                  <c:v>373</c:v>
                </c:pt>
                <c:pt idx="1">
                  <c:v>400</c:v>
                </c:pt>
                <c:pt idx="2">
                  <c:v>427</c:v>
                </c:pt>
              </c:numCache>
            </c:numRef>
          </c:val>
          <c:extLst>
            <c:ext xmlns:c16="http://schemas.microsoft.com/office/drawing/2014/chart" uri="{C3380CC4-5D6E-409C-BE32-E72D297353CC}">
              <c16:uniqueId val="{00000006-7911-446F-9926-39B320B09B5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101600">
        <a:schemeClr val="bg1">
          <a:alpha val="15000"/>
        </a:schemeClr>
      </a:glow>
    </a:effectLst>
    <a:scene3d>
      <a:camera prst="orthographicFront"/>
      <a:lightRig rig="threePt" dir="t"/>
    </a:scene3d>
    <a:sp3d>
      <a:bevelT w="190500" h="38100"/>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Table!mission by destion</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Missions by Destination</a:t>
            </a:r>
            <a:endParaRPr lang="en-US" b="1">
              <a:solidFill>
                <a:schemeClr val="bg1"/>
              </a:solidFill>
            </a:endParaRPr>
          </a:p>
        </c:rich>
      </c:tx>
      <c:layout>
        <c:manualLayout>
          <c:xMode val="edge"/>
          <c:yMode val="edge"/>
          <c:x val="0.31893931128123998"/>
          <c:y val="7.09973753280839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66E-2"/>
              <c:y val="-6.01851851851852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5704"/>
                    <a:gd name="adj2" fmla="val -64250"/>
                  </a:avLst>
                </a:prstGeom>
                <a:noFill/>
                <a:ln>
                  <a:noFill/>
                </a:ln>
              </c15:spPr>
            </c:ext>
          </c:extLst>
        </c:dLbl>
      </c:pivotFmt>
      <c:pivotFmt>
        <c:idx val="2"/>
        <c:spPr>
          <a:solidFill>
            <a:schemeClr val="accent1"/>
          </a:solidFill>
          <a:ln w="19050">
            <a:solidFill>
              <a:schemeClr val="lt1"/>
            </a:solidFill>
          </a:ln>
          <a:effectLst/>
        </c:spPr>
        <c:dLbl>
          <c:idx val="0"/>
          <c:layout>
            <c:manualLayout>
              <c:x val="8.611111111111111E-2"/>
              <c:y val="-8.4875562720133283E-17"/>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5.2777777777777778E-2"/>
              <c:y val="0.1064814814814813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4999999999999997E-2"/>
              <c:y val="8.333333333333332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611111111111111E-2"/>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4908"/>
                    <a:gd name="adj2" fmla="val -4759"/>
                  </a:avLst>
                </a:prstGeom>
                <a:noFill/>
                <a:ln>
                  <a:noFill/>
                </a:ln>
              </c15:spPr>
            </c:ext>
          </c:extLst>
        </c:dLbl>
      </c:pivotFmt>
      <c:pivotFmt>
        <c:idx val="6"/>
        <c:spPr>
          <a:solidFill>
            <a:schemeClr val="accent1"/>
          </a:solidFill>
          <a:ln w="19050">
            <a:solidFill>
              <a:schemeClr val="lt1"/>
            </a:solidFill>
          </a:ln>
          <a:effectLst/>
        </c:spPr>
        <c:dLbl>
          <c:idx val="0"/>
          <c:layout>
            <c:manualLayout>
              <c:x val="-6.3888888888888884E-2"/>
              <c:y val="-8.333333333333332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166666666666666E-2"/>
              <c:y val="-6.01851851851852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5704"/>
                    <a:gd name="adj2" fmla="val -64250"/>
                  </a:avLst>
                </a:prstGeom>
                <a:noFill/>
                <a:ln>
                  <a:noFill/>
                </a:ln>
              </c15:spPr>
            </c:ext>
          </c:extLst>
        </c:dLbl>
      </c:pivotFmt>
      <c:pivotFmt>
        <c:idx val="9"/>
        <c:spPr>
          <a:solidFill>
            <a:schemeClr val="accent1"/>
          </a:solidFill>
          <a:ln w="19050">
            <a:solidFill>
              <a:schemeClr val="lt1"/>
            </a:solidFill>
          </a:ln>
          <a:effectLst/>
        </c:spPr>
        <c:dLbl>
          <c:idx val="0"/>
          <c:layout>
            <c:manualLayout>
              <c:x val="8.611111111111111E-2"/>
              <c:y val="-8.4875562720133283E-17"/>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2777777777777778E-2"/>
              <c:y val="0.1064814814814813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7.4999999999999997E-2"/>
              <c:y val="8.333333333333332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611111111111111E-2"/>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4908"/>
                    <a:gd name="adj2" fmla="val -4759"/>
                  </a:avLst>
                </a:prstGeom>
                <a:noFill/>
                <a:ln>
                  <a:noFill/>
                </a:ln>
              </c15:spPr>
            </c:ext>
          </c:extLst>
        </c:dLbl>
      </c:pivotFmt>
      <c:pivotFmt>
        <c:idx val="13"/>
        <c:spPr>
          <a:solidFill>
            <a:schemeClr val="accent1"/>
          </a:solidFill>
          <a:ln w="19050">
            <a:solidFill>
              <a:schemeClr val="lt1"/>
            </a:solidFill>
          </a:ln>
          <a:effectLst/>
        </c:spPr>
        <c:dLbl>
          <c:idx val="0"/>
          <c:layout>
            <c:manualLayout>
              <c:x val="-6.3888888888888884E-2"/>
              <c:y val="-8.333333333333332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B0F0"/>
          </a:solidFill>
          <a:ln w="19050">
            <a:solidFill>
              <a:schemeClr val="lt1"/>
            </a:solidFill>
          </a:ln>
          <a:effectLst/>
        </c:spPr>
        <c:dLbl>
          <c:idx val="0"/>
          <c:layout>
            <c:manualLayout>
              <c:x val="9.166666666666666E-2"/>
              <c:y val="-6.01851851851852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5704"/>
                    <a:gd name="adj2" fmla="val -64250"/>
                  </a:avLst>
                </a:prstGeom>
                <a:noFill/>
                <a:ln>
                  <a:noFill/>
                </a:ln>
              </c15:spPr>
            </c:ext>
          </c:extLst>
        </c:dLbl>
      </c:pivotFmt>
      <c:pivotFmt>
        <c:idx val="16"/>
        <c:spPr>
          <a:solidFill>
            <a:srgbClr val="FF33CC"/>
          </a:solidFill>
          <a:ln w="19050">
            <a:solidFill>
              <a:schemeClr val="lt1"/>
            </a:solidFill>
          </a:ln>
          <a:effectLst/>
        </c:spPr>
        <c:dLbl>
          <c:idx val="0"/>
          <c:layout>
            <c:manualLayout>
              <c:x val="8.611111111111111E-2"/>
              <c:y val="-8.4875562720133283E-17"/>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5.2777777777777778E-2"/>
              <c:y val="0.1064814814814813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lumMod val="75000"/>
            </a:schemeClr>
          </a:solidFill>
          <a:ln w="19050">
            <a:solidFill>
              <a:schemeClr val="lt1"/>
            </a:solidFill>
          </a:ln>
          <a:effectLst/>
        </c:spPr>
        <c:dLbl>
          <c:idx val="0"/>
          <c:layout>
            <c:manualLayout>
              <c:x val="-7.4999999999999997E-2"/>
              <c:y val="8.333333333333332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9F28A8"/>
          </a:solidFill>
          <a:ln w="19050">
            <a:solidFill>
              <a:schemeClr val="lt1"/>
            </a:solidFill>
          </a:ln>
          <a:effectLst/>
        </c:spPr>
        <c:dLbl>
          <c:idx val="0"/>
          <c:layout>
            <c:manualLayout>
              <c:x val="-8.611111111111111E-2"/>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4908"/>
                    <a:gd name="adj2" fmla="val -4759"/>
                  </a:avLst>
                </a:prstGeom>
                <a:noFill/>
                <a:ln>
                  <a:noFill/>
                </a:ln>
              </c15:spPr>
            </c:ext>
          </c:extLst>
        </c:dLbl>
      </c:pivotFmt>
      <c:pivotFmt>
        <c:idx val="20"/>
        <c:spPr>
          <a:solidFill>
            <a:schemeClr val="accent1"/>
          </a:solidFill>
          <a:ln w="19050">
            <a:solidFill>
              <a:schemeClr val="lt1"/>
            </a:solidFill>
          </a:ln>
          <a:effectLst/>
        </c:spPr>
        <c:dLbl>
          <c:idx val="0"/>
          <c:layout>
            <c:manualLayout>
              <c:x val="-6.3888888888888884E-2"/>
              <c:y val="-8.3333333333333329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868294609825045"/>
          <c:y val="0.31251224846894143"/>
          <c:w val="0.35240048118985129"/>
          <c:h val="0.58733413531641876"/>
        </c:manualLayout>
      </c:layout>
      <c:doughnutChart>
        <c:varyColors val="1"/>
        <c:ser>
          <c:idx val="0"/>
          <c:order val="0"/>
          <c:tx>
            <c:strRef>
              <c:f>'Pivot Table'!$B$52</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F027-4559-BF45-0B90F5F17B2B}"/>
              </c:ext>
            </c:extLst>
          </c:dPt>
          <c:dPt>
            <c:idx val="1"/>
            <c:bubble3D val="0"/>
            <c:spPr>
              <a:solidFill>
                <a:srgbClr val="FF33CC"/>
              </a:solidFill>
              <a:ln w="19050">
                <a:solidFill>
                  <a:schemeClr val="lt1"/>
                </a:solidFill>
              </a:ln>
              <a:effectLst/>
            </c:spPr>
            <c:extLst>
              <c:ext xmlns:c16="http://schemas.microsoft.com/office/drawing/2014/chart" uri="{C3380CC4-5D6E-409C-BE32-E72D297353CC}">
                <c16:uniqueId val="{00000003-F027-4559-BF45-0B90F5F17B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27-4559-BF45-0B90F5F17B2B}"/>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F027-4559-BF45-0B90F5F17B2B}"/>
              </c:ext>
            </c:extLst>
          </c:dPt>
          <c:dPt>
            <c:idx val="4"/>
            <c:bubble3D val="0"/>
            <c:spPr>
              <a:solidFill>
                <a:srgbClr val="9F28A8"/>
              </a:solidFill>
              <a:ln w="19050">
                <a:solidFill>
                  <a:schemeClr val="lt1"/>
                </a:solidFill>
              </a:ln>
              <a:effectLst/>
            </c:spPr>
            <c:extLst>
              <c:ext xmlns:c16="http://schemas.microsoft.com/office/drawing/2014/chart" uri="{C3380CC4-5D6E-409C-BE32-E72D297353CC}">
                <c16:uniqueId val="{00000009-F027-4559-BF45-0B90F5F17B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27-4559-BF45-0B90F5F17B2B}"/>
              </c:ext>
            </c:extLst>
          </c:dPt>
          <c:dLbls>
            <c:dLbl>
              <c:idx val="0"/>
              <c:layout>
                <c:manualLayout>
                  <c:x val="9.166666666666666E-2"/>
                  <c:y val="-6.018518518518523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5704"/>
                        <a:gd name="adj2" fmla="val -64250"/>
                      </a:avLst>
                    </a:prstGeom>
                    <a:noFill/>
                    <a:ln>
                      <a:noFill/>
                    </a:ln>
                  </c15:spPr>
                </c:ext>
                <c:ext xmlns:c16="http://schemas.microsoft.com/office/drawing/2014/chart" uri="{C3380CC4-5D6E-409C-BE32-E72D297353CC}">
                  <c16:uniqueId val="{00000001-F027-4559-BF45-0B90F5F17B2B}"/>
                </c:ext>
              </c:extLst>
            </c:dLbl>
            <c:dLbl>
              <c:idx val="1"/>
              <c:layout>
                <c:manualLayout>
                  <c:x val="8.611111111111111E-2"/>
                  <c:y val="-8.4875562720133283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27-4559-BF45-0B90F5F17B2B}"/>
                </c:ext>
              </c:extLst>
            </c:dLbl>
            <c:dLbl>
              <c:idx val="2"/>
              <c:layout>
                <c:manualLayout>
                  <c:x val="5.2777777777777778E-2"/>
                  <c:y val="0.106481481481481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027-4559-BF45-0B90F5F17B2B}"/>
                </c:ext>
              </c:extLst>
            </c:dLbl>
            <c:dLbl>
              <c:idx val="3"/>
              <c:layout>
                <c:manualLayout>
                  <c:x val="-7.4999999999999997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027-4559-BF45-0B90F5F17B2B}"/>
                </c:ext>
              </c:extLst>
            </c:dLbl>
            <c:dLbl>
              <c:idx val="4"/>
              <c:layout>
                <c:manualLayout>
                  <c:x val="-8.611111111111111E-2"/>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4908"/>
                        <a:gd name="adj2" fmla="val -4759"/>
                      </a:avLst>
                    </a:prstGeom>
                    <a:noFill/>
                    <a:ln>
                      <a:noFill/>
                    </a:ln>
                  </c15:spPr>
                </c:ext>
                <c:ext xmlns:c16="http://schemas.microsoft.com/office/drawing/2014/chart" uri="{C3380CC4-5D6E-409C-BE32-E72D297353CC}">
                  <c16:uniqueId val="{00000009-F027-4559-BF45-0B90F5F17B2B}"/>
                </c:ext>
              </c:extLst>
            </c:dLbl>
            <c:dLbl>
              <c:idx val="5"/>
              <c:layout>
                <c:manualLayout>
                  <c:x val="-6.3888888888888884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027-4559-BF45-0B90F5F17B2B}"/>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Table'!$A$53:$A$59</c:f>
              <c:strCache>
                <c:ptCount val="6"/>
                <c:pt idx="0">
                  <c:v>Asteroid Belt</c:v>
                </c:pt>
                <c:pt idx="1">
                  <c:v>GEO</c:v>
                </c:pt>
                <c:pt idx="2">
                  <c:v>ISS</c:v>
                </c:pt>
                <c:pt idx="3">
                  <c:v>LEO</c:v>
                </c:pt>
                <c:pt idx="4">
                  <c:v>Mars</c:v>
                </c:pt>
                <c:pt idx="5">
                  <c:v>Moon</c:v>
                </c:pt>
              </c:strCache>
            </c:strRef>
          </c:cat>
          <c:val>
            <c:numRef>
              <c:f>'Pivot Table'!$B$53:$B$59</c:f>
              <c:numCache>
                <c:formatCode>General</c:formatCode>
                <c:ptCount val="6"/>
                <c:pt idx="0">
                  <c:v>186</c:v>
                </c:pt>
                <c:pt idx="1">
                  <c:v>185</c:v>
                </c:pt>
                <c:pt idx="2">
                  <c:v>201</c:v>
                </c:pt>
                <c:pt idx="3">
                  <c:v>223</c:v>
                </c:pt>
                <c:pt idx="4">
                  <c:v>199</c:v>
                </c:pt>
                <c:pt idx="5">
                  <c:v>206</c:v>
                </c:pt>
              </c:numCache>
            </c:numRef>
          </c:val>
          <c:extLst>
            <c:ext xmlns:c16="http://schemas.microsoft.com/office/drawing/2014/chart" uri="{C3380CC4-5D6E-409C-BE32-E72D297353CC}">
              <c16:uniqueId val="{0000000C-F027-4559-BF45-0B90F5F17B2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101600">
        <a:schemeClr val="bg1">
          <a:alpha val="15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[space mission.xlsx]Pivot Table!mission by destination</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Missions Over Time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2.2424979724249797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2.2424979724249797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2.2424979724249797E-2"/>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Table'!$B$68</c:f>
              <c:strCache>
                <c:ptCount val="1"/>
                <c:pt idx="0">
                  <c:v>Total</c:v>
                </c:pt>
              </c:strCache>
            </c:strRef>
          </c:tx>
          <c:spPr>
            <a:ln w="28575" cap="rnd">
              <a:solidFill>
                <a:schemeClr val="accent1"/>
              </a:solidFill>
              <a:round/>
            </a:ln>
            <a:effectLst/>
          </c:spPr>
          <c:marker>
            <c:symbol val="none"/>
          </c:marker>
          <c:dPt>
            <c:idx val="16"/>
            <c:marker>
              <c:symbol val="none"/>
            </c:marker>
            <c:bubble3D val="0"/>
            <c:spPr>
              <a:ln w="28575" cap="rnd">
                <a:solidFill>
                  <a:schemeClr val="accent1"/>
                </a:solidFill>
                <a:round/>
              </a:ln>
              <a:effectLst/>
            </c:spPr>
            <c:extLst>
              <c:ext xmlns:c16="http://schemas.microsoft.com/office/drawing/2014/chart" uri="{C3380CC4-5D6E-409C-BE32-E72D297353CC}">
                <c16:uniqueId val="{00000001-4FD4-49E9-8786-62340AC7EB89}"/>
              </c:ext>
            </c:extLst>
          </c:dPt>
          <c:dLbls>
            <c:dLbl>
              <c:idx val="16"/>
              <c:layout>
                <c:manualLayout>
                  <c:x val="-2.2424979724249797E-2"/>
                  <c:y val="-9.0243146689997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D4-49E9-8786-62340AC7EB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Table'!$A$69:$A$86</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'Pivot Table'!$B$69:$B$86</c:f>
              <c:numCache>
                <c:formatCode>General</c:formatCode>
                <c:ptCount val="17"/>
                <c:pt idx="0">
                  <c:v>64</c:v>
                </c:pt>
                <c:pt idx="1">
                  <c:v>59</c:v>
                </c:pt>
                <c:pt idx="2">
                  <c:v>69</c:v>
                </c:pt>
                <c:pt idx="3">
                  <c:v>61</c:v>
                </c:pt>
                <c:pt idx="4">
                  <c:v>86</c:v>
                </c:pt>
                <c:pt idx="5">
                  <c:v>77</c:v>
                </c:pt>
                <c:pt idx="6">
                  <c:v>72</c:v>
                </c:pt>
                <c:pt idx="7">
                  <c:v>82</c:v>
                </c:pt>
                <c:pt idx="8">
                  <c:v>70</c:v>
                </c:pt>
                <c:pt idx="9">
                  <c:v>83</c:v>
                </c:pt>
                <c:pt idx="10">
                  <c:v>69</c:v>
                </c:pt>
                <c:pt idx="11">
                  <c:v>74</c:v>
                </c:pt>
                <c:pt idx="12">
                  <c:v>75</c:v>
                </c:pt>
                <c:pt idx="13">
                  <c:v>81</c:v>
                </c:pt>
                <c:pt idx="14">
                  <c:v>64</c:v>
                </c:pt>
                <c:pt idx="15">
                  <c:v>78</c:v>
                </c:pt>
                <c:pt idx="16">
                  <c:v>36</c:v>
                </c:pt>
              </c:numCache>
            </c:numRef>
          </c:val>
          <c:smooth val="0"/>
          <c:extLst>
            <c:ext xmlns:c16="http://schemas.microsoft.com/office/drawing/2014/chart" uri="{C3380CC4-5D6E-409C-BE32-E72D297353CC}">
              <c16:uniqueId val="{00000002-4FD4-49E9-8786-62340AC7EB89}"/>
            </c:ext>
          </c:extLst>
        </c:ser>
        <c:dLbls>
          <c:dLblPos val="t"/>
          <c:showLegendKey val="0"/>
          <c:showVal val="1"/>
          <c:showCatName val="0"/>
          <c:showSerName val="0"/>
          <c:showPercent val="0"/>
          <c:showBubbleSize val="0"/>
        </c:dLbls>
        <c:smooth val="0"/>
        <c:axId val="633819736"/>
        <c:axId val="633824000"/>
      </c:lineChart>
      <c:catAx>
        <c:axId val="633819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3824000"/>
        <c:crosses val="autoZero"/>
        <c:auto val="1"/>
        <c:lblAlgn val="ctr"/>
        <c:lblOffset val="100"/>
        <c:noMultiLvlLbl val="0"/>
      </c:catAx>
      <c:valAx>
        <c:axId val="633824000"/>
        <c:scaling>
          <c:orientation val="minMax"/>
        </c:scaling>
        <c:delete val="1"/>
        <c:axPos val="l"/>
        <c:numFmt formatCode="General" sourceLinked="1"/>
        <c:majorTickMark val="none"/>
        <c:minorTickMark val="none"/>
        <c:tickLblPos val="nextTo"/>
        <c:crossAx val="633819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glow rad="101600">
        <a:schemeClr val="bg1">
          <a:alpha val="15000"/>
        </a:schemeClr>
      </a:glo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17" Type="http://schemas.openxmlformats.org/officeDocument/2006/relationships/image" Target="../media/image65.png"/><Relationship Id="rId21" Type="http://schemas.openxmlformats.org/officeDocument/2006/relationships/customXml" Target="../ink/ink11.xml"/><Relationship Id="rId42" Type="http://schemas.openxmlformats.org/officeDocument/2006/relationships/image" Target="../media/image26.png"/><Relationship Id="rId47" Type="http://schemas.openxmlformats.org/officeDocument/2006/relationships/customXml" Target="../ink/ink24.xml"/><Relationship Id="rId63" Type="http://schemas.openxmlformats.org/officeDocument/2006/relationships/customXml" Target="../ink/ink32.xml"/><Relationship Id="rId68" Type="http://schemas.openxmlformats.org/officeDocument/2006/relationships/image" Target="../media/image39.png"/><Relationship Id="rId84" Type="http://schemas.openxmlformats.org/officeDocument/2006/relationships/image" Target="../media/image6.gif"/><Relationship Id="rId89" Type="http://schemas.openxmlformats.org/officeDocument/2006/relationships/chart" Target="../charts/chart10.xml"/><Relationship Id="rId112" Type="http://schemas.openxmlformats.org/officeDocument/2006/relationships/customXml" Target="../ink/ink49.xml"/><Relationship Id="rId133" Type="http://schemas.openxmlformats.org/officeDocument/2006/relationships/image" Target="../media/image73.png"/><Relationship Id="rId138" Type="http://schemas.openxmlformats.org/officeDocument/2006/relationships/customXml" Target="../ink/ink62.xml"/><Relationship Id="rId154" Type="http://schemas.openxmlformats.org/officeDocument/2006/relationships/customXml" Target="../ink/ink70.xml"/><Relationship Id="rId159" Type="http://schemas.openxmlformats.org/officeDocument/2006/relationships/image" Target="../media/image49.png"/><Relationship Id="rId175" Type="http://schemas.openxmlformats.org/officeDocument/2006/relationships/image" Target="../media/image85.png"/><Relationship Id="rId170" Type="http://schemas.openxmlformats.org/officeDocument/2006/relationships/customXml" Target="../ink/ink78.xml"/><Relationship Id="rId191" Type="http://schemas.openxmlformats.org/officeDocument/2006/relationships/image" Target="../media/image93.png"/><Relationship Id="rId196" Type="http://schemas.openxmlformats.org/officeDocument/2006/relationships/customXml" Target="../ink/ink91.xml"/><Relationship Id="rId16" Type="http://schemas.openxmlformats.org/officeDocument/2006/relationships/image" Target="../media/image13.png"/><Relationship Id="rId107" Type="http://schemas.openxmlformats.org/officeDocument/2006/relationships/image" Target="../media/image60.png"/><Relationship Id="rId11" Type="http://schemas.openxmlformats.org/officeDocument/2006/relationships/customXml" Target="../ink/ink6.xml"/><Relationship Id="rId32" Type="http://schemas.openxmlformats.org/officeDocument/2006/relationships/image" Target="../media/image21.png"/><Relationship Id="rId37" Type="http://schemas.openxmlformats.org/officeDocument/2006/relationships/customXml" Target="../ink/ink19.xml"/><Relationship Id="rId53" Type="http://schemas.openxmlformats.org/officeDocument/2006/relationships/customXml" Target="../ink/ink27.xml"/><Relationship Id="rId58" Type="http://schemas.openxmlformats.org/officeDocument/2006/relationships/image" Target="../media/image34.png"/><Relationship Id="rId74" Type="http://schemas.openxmlformats.org/officeDocument/2006/relationships/image" Target="../media/image42.png"/><Relationship Id="rId79" Type="http://schemas.openxmlformats.org/officeDocument/2006/relationships/image" Target="../media/image1.jpeg"/><Relationship Id="rId102" Type="http://schemas.openxmlformats.org/officeDocument/2006/relationships/customXml" Target="../ink/ink44.xml"/><Relationship Id="rId123" Type="http://schemas.openxmlformats.org/officeDocument/2006/relationships/image" Target="../media/image68.png"/><Relationship Id="rId128" Type="http://schemas.openxmlformats.org/officeDocument/2006/relationships/customXml" Target="../ink/ink57.xml"/><Relationship Id="rId144" Type="http://schemas.openxmlformats.org/officeDocument/2006/relationships/customXml" Target="../ink/ink65.xml"/><Relationship Id="rId149" Type="http://schemas.openxmlformats.org/officeDocument/2006/relationships/image" Target="../media/image81.png"/><Relationship Id="rId5" Type="http://schemas.openxmlformats.org/officeDocument/2006/relationships/customXml" Target="../ink/ink3.xml"/><Relationship Id="rId90" Type="http://schemas.openxmlformats.org/officeDocument/2006/relationships/chart" Target="../charts/chart11.xml"/><Relationship Id="rId95" Type="http://schemas.openxmlformats.org/officeDocument/2006/relationships/image" Target="../media/image54.png"/><Relationship Id="rId160" Type="http://schemas.openxmlformats.org/officeDocument/2006/relationships/customXml" Target="../ink/ink73.xml"/><Relationship Id="rId165" Type="http://schemas.openxmlformats.org/officeDocument/2006/relationships/image" Target="../media/image52.png"/><Relationship Id="rId181" Type="http://schemas.openxmlformats.org/officeDocument/2006/relationships/image" Target="../media/image88.png"/><Relationship Id="rId186" Type="http://schemas.openxmlformats.org/officeDocument/2006/relationships/customXml" Target="../ink/ink86.xml"/><Relationship Id="rId22" Type="http://schemas.openxmlformats.org/officeDocument/2006/relationships/image" Target="../media/image16.png"/><Relationship Id="rId27" Type="http://schemas.openxmlformats.org/officeDocument/2006/relationships/customXml" Target="../ink/ink14.xml"/><Relationship Id="rId43" Type="http://schemas.openxmlformats.org/officeDocument/2006/relationships/customXml" Target="../ink/ink22.xml"/><Relationship Id="rId48" Type="http://schemas.openxmlformats.org/officeDocument/2006/relationships/image" Target="../media/image29.png"/><Relationship Id="rId64" Type="http://schemas.openxmlformats.org/officeDocument/2006/relationships/image" Target="../media/image37.png"/><Relationship Id="rId69" Type="http://schemas.openxmlformats.org/officeDocument/2006/relationships/customXml" Target="../ink/ink35.xml"/><Relationship Id="rId113" Type="http://schemas.openxmlformats.org/officeDocument/2006/relationships/image" Target="../media/image63.png"/><Relationship Id="rId118" Type="http://schemas.openxmlformats.org/officeDocument/2006/relationships/customXml" Target="../ink/ink52.xml"/><Relationship Id="rId134" Type="http://schemas.openxmlformats.org/officeDocument/2006/relationships/customXml" Target="../ink/ink60.xml"/><Relationship Id="rId139" Type="http://schemas.openxmlformats.org/officeDocument/2006/relationships/image" Target="../media/image76.png"/><Relationship Id="rId80" Type="http://schemas.openxmlformats.org/officeDocument/2006/relationships/image" Target="../media/image2.webp"/><Relationship Id="rId85" Type="http://schemas.openxmlformats.org/officeDocument/2006/relationships/image" Target="../media/image7.webp"/><Relationship Id="rId150" Type="http://schemas.openxmlformats.org/officeDocument/2006/relationships/customXml" Target="../ink/ink68.xml"/><Relationship Id="rId155" Type="http://schemas.openxmlformats.org/officeDocument/2006/relationships/image" Target="../media/image47.png"/><Relationship Id="rId171" Type="http://schemas.openxmlformats.org/officeDocument/2006/relationships/image" Target="../media/image83.png"/><Relationship Id="rId176" Type="http://schemas.openxmlformats.org/officeDocument/2006/relationships/customXml" Target="../ink/ink81.xml"/><Relationship Id="rId192" Type="http://schemas.openxmlformats.org/officeDocument/2006/relationships/customXml" Target="../ink/ink89.xml"/><Relationship Id="rId197" Type="http://schemas.openxmlformats.org/officeDocument/2006/relationships/image" Target="../media/image96.png"/><Relationship Id="rId12" Type="http://schemas.openxmlformats.org/officeDocument/2006/relationships/image" Target="../media/image11.png"/><Relationship Id="rId17" Type="http://schemas.openxmlformats.org/officeDocument/2006/relationships/customXml" Target="../ink/ink9.xml"/><Relationship Id="rId33" Type="http://schemas.openxmlformats.org/officeDocument/2006/relationships/customXml" Target="../ink/ink17.xml"/><Relationship Id="rId38" Type="http://schemas.openxmlformats.org/officeDocument/2006/relationships/image" Target="../media/image24.png"/><Relationship Id="rId59" Type="http://schemas.openxmlformats.org/officeDocument/2006/relationships/customXml" Target="../ink/ink30.xml"/><Relationship Id="rId103" Type="http://schemas.openxmlformats.org/officeDocument/2006/relationships/image" Target="../media/image58.png"/><Relationship Id="rId108" Type="http://schemas.openxmlformats.org/officeDocument/2006/relationships/customXml" Target="../ink/ink47.xml"/><Relationship Id="rId124" Type="http://schemas.openxmlformats.org/officeDocument/2006/relationships/customXml" Target="../ink/ink55.xml"/><Relationship Id="rId129" Type="http://schemas.openxmlformats.org/officeDocument/2006/relationships/image" Target="../media/image71.png"/><Relationship Id="rId54" Type="http://schemas.openxmlformats.org/officeDocument/2006/relationships/image" Target="../media/image32.png"/><Relationship Id="rId70" Type="http://schemas.openxmlformats.org/officeDocument/2006/relationships/image" Target="../media/image40.png"/><Relationship Id="rId75" Type="http://schemas.openxmlformats.org/officeDocument/2006/relationships/customXml" Target="../ink/ink38.xml"/><Relationship Id="rId91" Type="http://schemas.openxmlformats.org/officeDocument/2006/relationships/chart" Target="../charts/chart12.xml"/><Relationship Id="rId96" Type="http://schemas.openxmlformats.org/officeDocument/2006/relationships/customXml" Target="../ink/ink41.xml"/><Relationship Id="rId140" Type="http://schemas.openxmlformats.org/officeDocument/2006/relationships/customXml" Target="../ink/ink63.xml"/><Relationship Id="rId145" Type="http://schemas.openxmlformats.org/officeDocument/2006/relationships/image" Target="../media/image79.png"/><Relationship Id="rId161" Type="http://schemas.openxmlformats.org/officeDocument/2006/relationships/image" Target="../media/image50.png"/><Relationship Id="rId166" Type="http://schemas.openxmlformats.org/officeDocument/2006/relationships/customXml" Target="../ink/ink76.xml"/><Relationship Id="rId182" Type="http://schemas.openxmlformats.org/officeDocument/2006/relationships/customXml" Target="../ink/ink84.xml"/><Relationship Id="rId187" Type="http://schemas.openxmlformats.org/officeDocument/2006/relationships/image" Target="../media/image91.png"/><Relationship Id="rId1" Type="http://schemas.openxmlformats.org/officeDocument/2006/relationships/customXml" Target="../ink/ink1.xml"/><Relationship Id="rId6" Type="http://schemas.openxmlformats.org/officeDocument/2006/relationships/image" Target="../media/image8.png"/><Relationship Id="rId23" Type="http://schemas.openxmlformats.org/officeDocument/2006/relationships/customXml" Target="../ink/ink12.xml"/><Relationship Id="rId28" Type="http://schemas.openxmlformats.org/officeDocument/2006/relationships/image" Target="../media/image19.png"/><Relationship Id="rId49" Type="http://schemas.openxmlformats.org/officeDocument/2006/relationships/customXml" Target="../ink/ink25.xml"/><Relationship Id="rId114" Type="http://schemas.openxmlformats.org/officeDocument/2006/relationships/customXml" Target="../ink/ink50.xml"/><Relationship Id="rId119" Type="http://schemas.openxmlformats.org/officeDocument/2006/relationships/image" Target="../media/image66.png"/><Relationship Id="rId44" Type="http://schemas.openxmlformats.org/officeDocument/2006/relationships/image" Target="../media/image27.png"/><Relationship Id="rId60" Type="http://schemas.openxmlformats.org/officeDocument/2006/relationships/image" Target="../media/image35.png"/><Relationship Id="rId65" Type="http://schemas.openxmlformats.org/officeDocument/2006/relationships/customXml" Target="../ink/ink33.xml"/><Relationship Id="rId81" Type="http://schemas.openxmlformats.org/officeDocument/2006/relationships/image" Target="../media/image3.jpeg"/><Relationship Id="rId86" Type="http://schemas.openxmlformats.org/officeDocument/2006/relationships/image" Target="../media/image8.jpg"/><Relationship Id="rId130" Type="http://schemas.openxmlformats.org/officeDocument/2006/relationships/customXml" Target="../ink/ink58.xml"/><Relationship Id="rId135" Type="http://schemas.openxmlformats.org/officeDocument/2006/relationships/image" Target="../media/image74.png"/><Relationship Id="rId151" Type="http://schemas.openxmlformats.org/officeDocument/2006/relationships/image" Target="../media/image45.png"/><Relationship Id="rId156" Type="http://schemas.openxmlformats.org/officeDocument/2006/relationships/customXml" Target="../ink/ink71.xml"/><Relationship Id="rId177" Type="http://schemas.openxmlformats.org/officeDocument/2006/relationships/image" Target="../media/image86.png"/><Relationship Id="rId172" Type="http://schemas.openxmlformats.org/officeDocument/2006/relationships/customXml" Target="../ink/ink79.xml"/><Relationship Id="rId193" Type="http://schemas.openxmlformats.org/officeDocument/2006/relationships/image" Target="../media/image94.png"/><Relationship Id="rId13" Type="http://schemas.openxmlformats.org/officeDocument/2006/relationships/customXml" Target="../ink/ink7.xml"/><Relationship Id="rId18" Type="http://schemas.openxmlformats.org/officeDocument/2006/relationships/image" Target="../media/image14.png"/><Relationship Id="rId39" Type="http://schemas.openxmlformats.org/officeDocument/2006/relationships/customXml" Target="../ink/ink20.xml"/><Relationship Id="rId109" Type="http://schemas.openxmlformats.org/officeDocument/2006/relationships/image" Target="../media/image61.png"/><Relationship Id="rId34" Type="http://schemas.openxmlformats.org/officeDocument/2006/relationships/image" Target="../media/image22.png"/><Relationship Id="rId50" Type="http://schemas.openxmlformats.org/officeDocument/2006/relationships/image" Target="../media/image30.png"/><Relationship Id="rId55" Type="http://schemas.openxmlformats.org/officeDocument/2006/relationships/customXml" Target="../ink/ink28.xml"/><Relationship Id="rId76" Type="http://schemas.openxmlformats.org/officeDocument/2006/relationships/image" Target="../media/image43.png"/><Relationship Id="rId97" Type="http://schemas.openxmlformats.org/officeDocument/2006/relationships/image" Target="../media/image55.png"/><Relationship Id="rId104" Type="http://schemas.openxmlformats.org/officeDocument/2006/relationships/customXml" Target="../ink/ink45.xml"/><Relationship Id="rId120" Type="http://schemas.openxmlformats.org/officeDocument/2006/relationships/customXml" Target="../ink/ink53.xml"/><Relationship Id="rId125" Type="http://schemas.openxmlformats.org/officeDocument/2006/relationships/image" Target="../media/image69.png"/><Relationship Id="rId141" Type="http://schemas.openxmlformats.org/officeDocument/2006/relationships/image" Target="../media/image77.png"/><Relationship Id="rId146" Type="http://schemas.openxmlformats.org/officeDocument/2006/relationships/customXml" Target="../ink/ink66.xml"/><Relationship Id="rId167" Type="http://schemas.openxmlformats.org/officeDocument/2006/relationships/image" Target="../media/image53.png"/><Relationship Id="rId188" Type="http://schemas.openxmlformats.org/officeDocument/2006/relationships/customXml" Target="../ink/ink87.xml"/><Relationship Id="rId7" Type="http://schemas.openxmlformats.org/officeDocument/2006/relationships/customXml" Target="../ink/ink4.xml"/><Relationship Id="rId71" Type="http://schemas.openxmlformats.org/officeDocument/2006/relationships/customXml" Target="../ink/ink36.xml"/><Relationship Id="rId92" Type="http://schemas.openxmlformats.org/officeDocument/2006/relationships/chart" Target="../charts/chart13.xml"/><Relationship Id="rId162" Type="http://schemas.openxmlformats.org/officeDocument/2006/relationships/customXml" Target="../ink/ink74.xml"/><Relationship Id="rId183" Type="http://schemas.openxmlformats.org/officeDocument/2006/relationships/image" Target="../media/image89.png"/><Relationship Id="rId2" Type="http://schemas.openxmlformats.org/officeDocument/2006/relationships/image" Target="../media/image6.png"/><Relationship Id="rId29" Type="http://schemas.openxmlformats.org/officeDocument/2006/relationships/customXml" Target="../ink/ink15.xml"/><Relationship Id="rId24" Type="http://schemas.openxmlformats.org/officeDocument/2006/relationships/image" Target="../media/image17.png"/><Relationship Id="rId40" Type="http://schemas.openxmlformats.org/officeDocument/2006/relationships/image" Target="../media/image25.png"/><Relationship Id="rId45" Type="http://schemas.openxmlformats.org/officeDocument/2006/relationships/customXml" Target="../ink/ink23.xml"/><Relationship Id="rId66" Type="http://schemas.openxmlformats.org/officeDocument/2006/relationships/image" Target="../media/image38.png"/><Relationship Id="rId87" Type="http://schemas.openxmlformats.org/officeDocument/2006/relationships/image" Target="../media/image9.webp"/><Relationship Id="rId110" Type="http://schemas.openxmlformats.org/officeDocument/2006/relationships/customXml" Target="../ink/ink48.xml"/><Relationship Id="rId115" Type="http://schemas.openxmlformats.org/officeDocument/2006/relationships/image" Target="../media/image64.png"/><Relationship Id="rId131" Type="http://schemas.openxmlformats.org/officeDocument/2006/relationships/image" Target="../media/image72.png"/><Relationship Id="rId136" Type="http://schemas.openxmlformats.org/officeDocument/2006/relationships/customXml" Target="../ink/ink61.xml"/><Relationship Id="rId157" Type="http://schemas.openxmlformats.org/officeDocument/2006/relationships/image" Target="../media/image48.png"/><Relationship Id="rId178" Type="http://schemas.openxmlformats.org/officeDocument/2006/relationships/customXml" Target="../ink/ink82.xml"/><Relationship Id="rId61" Type="http://schemas.openxmlformats.org/officeDocument/2006/relationships/customXml" Target="../ink/ink31.xml"/><Relationship Id="rId82" Type="http://schemas.openxmlformats.org/officeDocument/2006/relationships/image" Target="../media/image4.avif"/><Relationship Id="rId152" Type="http://schemas.openxmlformats.org/officeDocument/2006/relationships/customXml" Target="../ink/ink69.xml"/><Relationship Id="rId173" Type="http://schemas.openxmlformats.org/officeDocument/2006/relationships/image" Target="../media/image84.png"/><Relationship Id="rId194" Type="http://schemas.openxmlformats.org/officeDocument/2006/relationships/customXml" Target="../ink/ink90.xml"/><Relationship Id="rId19" Type="http://schemas.openxmlformats.org/officeDocument/2006/relationships/customXml" Target="../ink/ink10.xml"/><Relationship Id="rId14" Type="http://schemas.openxmlformats.org/officeDocument/2006/relationships/image" Target="../media/image12.png"/><Relationship Id="rId30" Type="http://schemas.openxmlformats.org/officeDocument/2006/relationships/image" Target="../media/image20.png"/><Relationship Id="rId35" Type="http://schemas.openxmlformats.org/officeDocument/2006/relationships/customXml" Target="../ink/ink18.xml"/><Relationship Id="rId56" Type="http://schemas.openxmlformats.org/officeDocument/2006/relationships/image" Target="../media/image33.png"/><Relationship Id="rId77" Type="http://schemas.openxmlformats.org/officeDocument/2006/relationships/customXml" Target="../ink/ink39.xml"/><Relationship Id="rId100" Type="http://schemas.openxmlformats.org/officeDocument/2006/relationships/customXml" Target="../ink/ink43.xml"/><Relationship Id="rId105" Type="http://schemas.openxmlformats.org/officeDocument/2006/relationships/image" Target="../media/image59.png"/><Relationship Id="rId126" Type="http://schemas.openxmlformats.org/officeDocument/2006/relationships/customXml" Target="../ink/ink56.xml"/><Relationship Id="rId147" Type="http://schemas.openxmlformats.org/officeDocument/2006/relationships/image" Target="../media/image80.png"/><Relationship Id="rId168" Type="http://schemas.openxmlformats.org/officeDocument/2006/relationships/customXml" Target="../ink/ink77.xml"/><Relationship Id="rId8" Type="http://schemas.openxmlformats.org/officeDocument/2006/relationships/image" Target="../media/image9.png"/><Relationship Id="rId51" Type="http://schemas.openxmlformats.org/officeDocument/2006/relationships/customXml" Target="../ink/ink26.xml"/><Relationship Id="rId72" Type="http://schemas.openxmlformats.org/officeDocument/2006/relationships/image" Target="../media/image41.png"/><Relationship Id="rId93" Type="http://schemas.openxmlformats.org/officeDocument/2006/relationships/customXml" Target="../ink/ink40.xml"/><Relationship Id="rId98" Type="http://schemas.openxmlformats.org/officeDocument/2006/relationships/customXml" Target="../ink/ink42.xml"/><Relationship Id="rId121" Type="http://schemas.openxmlformats.org/officeDocument/2006/relationships/image" Target="../media/image67.png"/><Relationship Id="rId142" Type="http://schemas.openxmlformats.org/officeDocument/2006/relationships/customXml" Target="../ink/ink64.xml"/><Relationship Id="rId163" Type="http://schemas.openxmlformats.org/officeDocument/2006/relationships/image" Target="../media/image51.png"/><Relationship Id="rId184" Type="http://schemas.openxmlformats.org/officeDocument/2006/relationships/customXml" Target="../ink/ink85.xml"/><Relationship Id="rId189" Type="http://schemas.openxmlformats.org/officeDocument/2006/relationships/image" Target="../media/image92.png"/><Relationship Id="rId3" Type="http://schemas.openxmlformats.org/officeDocument/2006/relationships/customXml" Target="../ink/ink2.xml"/><Relationship Id="rId25" Type="http://schemas.openxmlformats.org/officeDocument/2006/relationships/customXml" Target="../ink/ink13.xml"/><Relationship Id="rId46" Type="http://schemas.openxmlformats.org/officeDocument/2006/relationships/image" Target="../media/image28.png"/><Relationship Id="rId67" Type="http://schemas.openxmlformats.org/officeDocument/2006/relationships/customXml" Target="../ink/ink34.xml"/><Relationship Id="rId116" Type="http://schemas.openxmlformats.org/officeDocument/2006/relationships/customXml" Target="../ink/ink51.xml"/><Relationship Id="rId137" Type="http://schemas.openxmlformats.org/officeDocument/2006/relationships/image" Target="../media/image75.png"/><Relationship Id="rId158" Type="http://schemas.openxmlformats.org/officeDocument/2006/relationships/customXml" Target="../ink/ink72.xml"/><Relationship Id="rId20" Type="http://schemas.openxmlformats.org/officeDocument/2006/relationships/image" Target="../media/image15.png"/><Relationship Id="rId41" Type="http://schemas.openxmlformats.org/officeDocument/2006/relationships/customXml" Target="../ink/ink21.xml"/><Relationship Id="rId62" Type="http://schemas.openxmlformats.org/officeDocument/2006/relationships/image" Target="../media/image36.png"/><Relationship Id="rId83" Type="http://schemas.openxmlformats.org/officeDocument/2006/relationships/image" Target="../media/image5.webp"/><Relationship Id="rId88" Type="http://schemas.openxmlformats.org/officeDocument/2006/relationships/chart" Target="../charts/chart9.xml"/><Relationship Id="rId111" Type="http://schemas.openxmlformats.org/officeDocument/2006/relationships/image" Target="../media/image62.png"/><Relationship Id="rId132" Type="http://schemas.openxmlformats.org/officeDocument/2006/relationships/customXml" Target="../ink/ink59.xml"/><Relationship Id="rId153" Type="http://schemas.openxmlformats.org/officeDocument/2006/relationships/image" Target="../media/image46.png"/><Relationship Id="rId174" Type="http://schemas.openxmlformats.org/officeDocument/2006/relationships/customXml" Target="../ink/ink80.xml"/><Relationship Id="rId179" Type="http://schemas.openxmlformats.org/officeDocument/2006/relationships/image" Target="../media/image87.png"/><Relationship Id="rId195" Type="http://schemas.openxmlformats.org/officeDocument/2006/relationships/image" Target="../media/image95.png"/><Relationship Id="rId190" Type="http://schemas.openxmlformats.org/officeDocument/2006/relationships/customXml" Target="../ink/ink88.xml"/><Relationship Id="rId15" Type="http://schemas.openxmlformats.org/officeDocument/2006/relationships/customXml" Target="../ink/ink8.xml"/><Relationship Id="rId36" Type="http://schemas.openxmlformats.org/officeDocument/2006/relationships/image" Target="../media/image23.png"/><Relationship Id="rId57" Type="http://schemas.openxmlformats.org/officeDocument/2006/relationships/customXml" Target="../ink/ink29.xml"/><Relationship Id="rId106" Type="http://schemas.openxmlformats.org/officeDocument/2006/relationships/customXml" Target="../ink/ink46.xml"/><Relationship Id="rId127" Type="http://schemas.openxmlformats.org/officeDocument/2006/relationships/image" Target="../media/image70.png"/><Relationship Id="rId10" Type="http://schemas.openxmlformats.org/officeDocument/2006/relationships/image" Target="../media/image10.png"/><Relationship Id="rId31" Type="http://schemas.openxmlformats.org/officeDocument/2006/relationships/customXml" Target="../ink/ink16.xml"/><Relationship Id="rId52" Type="http://schemas.openxmlformats.org/officeDocument/2006/relationships/image" Target="../media/image31.png"/><Relationship Id="rId73" Type="http://schemas.openxmlformats.org/officeDocument/2006/relationships/customXml" Target="../ink/ink37.xml"/><Relationship Id="rId78" Type="http://schemas.openxmlformats.org/officeDocument/2006/relationships/image" Target="../media/image44.png"/><Relationship Id="rId99" Type="http://schemas.openxmlformats.org/officeDocument/2006/relationships/image" Target="../media/image56.png"/><Relationship Id="rId101" Type="http://schemas.openxmlformats.org/officeDocument/2006/relationships/image" Target="../media/image57.png"/><Relationship Id="rId122" Type="http://schemas.openxmlformats.org/officeDocument/2006/relationships/customXml" Target="../ink/ink54.xml"/><Relationship Id="rId143" Type="http://schemas.openxmlformats.org/officeDocument/2006/relationships/image" Target="../media/image78.png"/><Relationship Id="rId148" Type="http://schemas.openxmlformats.org/officeDocument/2006/relationships/customXml" Target="../ink/ink67.xml"/><Relationship Id="rId164" Type="http://schemas.openxmlformats.org/officeDocument/2006/relationships/customXml" Target="../ink/ink75.xml"/><Relationship Id="rId169" Type="http://schemas.openxmlformats.org/officeDocument/2006/relationships/image" Target="../media/image82.png"/><Relationship Id="rId185" Type="http://schemas.openxmlformats.org/officeDocument/2006/relationships/image" Target="../media/image90.png"/><Relationship Id="rId4" Type="http://schemas.openxmlformats.org/officeDocument/2006/relationships/image" Target="../media/image7.png"/><Relationship Id="rId9" Type="http://schemas.openxmlformats.org/officeDocument/2006/relationships/customXml" Target="../ink/ink5.xml"/><Relationship Id="rId180" Type="http://schemas.openxmlformats.org/officeDocument/2006/relationships/customXml" Target="../ink/ink83.xml"/><Relationship Id="rId26"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2</xdr:col>
      <xdr:colOff>342900</xdr:colOff>
      <xdr:row>3</xdr:row>
      <xdr:rowOff>121920</xdr:rowOff>
    </xdr:from>
    <xdr:to>
      <xdr:col>8</xdr:col>
      <xdr:colOff>45720</xdr:colOff>
      <xdr:row>16</xdr:row>
      <xdr:rowOff>144780</xdr:rowOff>
    </xdr:to>
    <xdr:graphicFrame macro="">
      <xdr:nvGraphicFramePr>
        <xdr:cNvPr id="2" name="Chart 1">
          <a:extLst>
            <a:ext uri="{FF2B5EF4-FFF2-40B4-BE49-F238E27FC236}">
              <a16:creationId xmlns:a16="http://schemas.microsoft.com/office/drawing/2014/main" id="{7896CF7C-9ED5-4CD4-9A97-8101F75A2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297180</xdr:colOff>
      <xdr:row>18</xdr:row>
      <xdr:rowOff>83820</xdr:rowOff>
    </xdr:from>
    <xdr:to>
      <xdr:col>8</xdr:col>
      <xdr:colOff>0</xdr:colOff>
      <xdr:row>33</xdr:row>
      <xdr:rowOff>45720</xdr:rowOff>
    </xdr:to>
    <xdr:graphicFrame macro="">
      <xdr:nvGraphicFramePr>
        <xdr:cNvPr id="3" name="Chart 2">
          <a:extLst>
            <a:ext uri="{FF2B5EF4-FFF2-40B4-BE49-F238E27FC236}">
              <a16:creationId xmlns:a16="http://schemas.microsoft.com/office/drawing/2014/main" id="{0156B3A7-FFB9-46EC-9231-E219F61C6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312420</xdr:colOff>
      <xdr:row>34</xdr:row>
      <xdr:rowOff>15240</xdr:rowOff>
    </xdr:from>
    <xdr:to>
      <xdr:col>8</xdr:col>
      <xdr:colOff>15240</xdr:colOff>
      <xdr:row>49</xdr:row>
      <xdr:rowOff>15240</xdr:rowOff>
    </xdr:to>
    <xdr:graphicFrame macro="">
      <xdr:nvGraphicFramePr>
        <xdr:cNvPr id="4" name="Chart 3">
          <a:extLst>
            <a:ext uri="{FF2B5EF4-FFF2-40B4-BE49-F238E27FC236}">
              <a16:creationId xmlns:a16="http://schemas.microsoft.com/office/drawing/2014/main" id="{BAF0779C-FE92-4037-9B0A-EB0E803E7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312420</xdr:colOff>
      <xdr:row>49</xdr:row>
      <xdr:rowOff>167640</xdr:rowOff>
    </xdr:from>
    <xdr:to>
      <xdr:col>8</xdr:col>
      <xdr:colOff>15240</xdr:colOff>
      <xdr:row>64</xdr:row>
      <xdr:rowOff>167640</xdr:rowOff>
    </xdr:to>
    <xdr:graphicFrame macro="">
      <xdr:nvGraphicFramePr>
        <xdr:cNvPr id="5" name="Chart 4">
          <a:extLst>
            <a:ext uri="{FF2B5EF4-FFF2-40B4-BE49-F238E27FC236}">
              <a16:creationId xmlns:a16="http://schemas.microsoft.com/office/drawing/2014/main" id="{7A05DA53-BED0-4FDB-A563-7327460F7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266700</xdr:colOff>
      <xdr:row>66</xdr:row>
      <xdr:rowOff>30480</xdr:rowOff>
    </xdr:from>
    <xdr:to>
      <xdr:col>10</xdr:col>
      <xdr:colOff>441960</xdr:colOff>
      <xdr:row>81</xdr:row>
      <xdr:rowOff>30480</xdr:rowOff>
    </xdr:to>
    <xdr:graphicFrame macro="">
      <xdr:nvGraphicFramePr>
        <xdr:cNvPr id="6" name="Chart 5">
          <a:extLst>
            <a:ext uri="{FF2B5EF4-FFF2-40B4-BE49-F238E27FC236}">
              <a16:creationId xmlns:a16="http://schemas.microsoft.com/office/drawing/2014/main" id="{E5FC93AF-66CB-4252-A601-5C63358F2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297180</xdr:colOff>
      <xdr:row>85</xdr:row>
      <xdr:rowOff>0</xdr:rowOff>
    </xdr:from>
    <xdr:to>
      <xdr:col>8</xdr:col>
      <xdr:colOff>0</xdr:colOff>
      <xdr:row>100</xdr:row>
      <xdr:rowOff>0</xdr:rowOff>
    </xdr:to>
    <xdr:graphicFrame macro="">
      <xdr:nvGraphicFramePr>
        <xdr:cNvPr id="7" name="Chart 6">
          <a:extLst>
            <a:ext uri="{FF2B5EF4-FFF2-40B4-BE49-F238E27FC236}">
              <a16:creationId xmlns:a16="http://schemas.microsoft.com/office/drawing/2014/main" id="{227CDB99-C523-4CE9-A7ED-E21FBB9EC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304800</xdr:colOff>
      <xdr:row>100</xdr:row>
      <xdr:rowOff>175260</xdr:rowOff>
    </xdr:from>
    <xdr:to>
      <xdr:col>8</xdr:col>
      <xdr:colOff>7620</xdr:colOff>
      <xdr:row>115</xdr:row>
      <xdr:rowOff>175260</xdr:rowOff>
    </xdr:to>
    <xdr:graphicFrame macro="">
      <xdr:nvGraphicFramePr>
        <xdr:cNvPr id="8" name="Chart 7">
          <a:extLst>
            <a:ext uri="{FF2B5EF4-FFF2-40B4-BE49-F238E27FC236}">
              <a16:creationId xmlns:a16="http://schemas.microsoft.com/office/drawing/2014/main" id="{795E5C46-9A64-4E2A-B756-DFCA2F987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3</xdr:row>
      <xdr:rowOff>0</xdr:rowOff>
    </xdr:from>
    <xdr:to>
      <xdr:col>11</xdr:col>
      <xdr:colOff>144780</xdr:colOff>
      <xdr:row>6</xdr:row>
      <xdr:rowOff>38100</xdr:rowOff>
    </xdr:to>
    <xdr:sp macro="" textlink="'Pivot Table'!A2">
      <xdr:nvSpPr>
        <xdr:cNvPr id="9" name="TextBox 8">
          <a:extLst>
            <a:ext uri="{FF2B5EF4-FFF2-40B4-BE49-F238E27FC236}">
              <a16:creationId xmlns:a16="http://schemas.microsoft.com/office/drawing/2014/main" id="{8EA5DCF8-2F8E-44CB-B05F-E9C14EE20142}"/>
            </a:ext>
          </a:extLst>
        </xdr:cNvPr>
        <xdr:cNvSpPr txBox="1"/>
      </xdr:nvSpPr>
      <xdr:spPr>
        <a:xfrm>
          <a:off x="7589520" y="548640"/>
          <a:ext cx="1363980" cy="586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 Mission =</a:t>
          </a:r>
        </a:p>
        <a:p>
          <a:fld id="{781CDBF1-925E-465F-B3B0-17578C8A47D2}" type="TxLink">
            <a:rPr lang="en-US" sz="1100" b="0" i="0" u="none" strike="noStrike">
              <a:solidFill>
                <a:srgbClr val="000000"/>
              </a:solidFill>
              <a:latin typeface="Calibri"/>
              <a:ea typeface="Calibri"/>
              <a:cs typeface="Calibri"/>
            </a:rPr>
            <a:pPr/>
            <a:t>1200</a:t>
          </a:fld>
          <a:endParaRPr lang="en-US" sz="1100"/>
        </a:p>
      </xdr:txBody>
    </xdr:sp>
    <xdr:clientData/>
  </xdr:twoCellAnchor>
  <xdr:twoCellAnchor>
    <xdr:from>
      <xdr:col>9</xdr:col>
      <xdr:colOff>0</xdr:colOff>
      <xdr:row>7</xdr:row>
      <xdr:rowOff>0</xdr:rowOff>
    </xdr:from>
    <xdr:to>
      <xdr:col>11</xdr:col>
      <xdr:colOff>407956</xdr:colOff>
      <xdr:row>10</xdr:row>
      <xdr:rowOff>38100</xdr:rowOff>
    </xdr:to>
    <xdr:sp macro="" textlink="'Pivot Table'!B2">
      <xdr:nvSpPr>
        <xdr:cNvPr id="10" name="TextBox 9">
          <a:extLst>
            <a:ext uri="{FF2B5EF4-FFF2-40B4-BE49-F238E27FC236}">
              <a16:creationId xmlns:a16="http://schemas.microsoft.com/office/drawing/2014/main" id="{D7073F8F-17F9-4529-A6E7-32C110A06336}"/>
            </a:ext>
          </a:extLst>
        </xdr:cNvPr>
        <xdr:cNvSpPr txBox="1"/>
      </xdr:nvSpPr>
      <xdr:spPr>
        <a:xfrm>
          <a:off x="7589520" y="1280160"/>
          <a:ext cx="1627156" cy="586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 Budget = </a:t>
          </a:r>
          <a:fld id="{EF4FF0C3-8A82-41E0-B5F1-A78E8221BA37}" type="TxLink">
            <a:rPr lang="en-US" sz="1100" b="0" i="0" u="none" strike="noStrike">
              <a:solidFill>
                <a:srgbClr val="000000"/>
              </a:solidFill>
              <a:latin typeface="Calibri"/>
              <a:ea typeface="Calibri"/>
              <a:cs typeface="Calibri"/>
            </a:rPr>
            <a:pPr/>
            <a:t>3108711.04</a:t>
          </a:fld>
          <a:endParaRPr lang="en-US" sz="1100" b="0" i="0" u="none" strike="noStrike">
            <a:solidFill>
              <a:srgbClr val="000000"/>
            </a:solidFill>
            <a:latin typeface="Calibri"/>
            <a:ea typeface="Calibri"/>
            <a:cs typeface="Calibri"/>
          </a:endParaRPr>
        </a:p>
      </xdr:txBody>
    </xdr:sp>
    <xdr:clientData/>
  </xdr:twoCellAnchor>
  <xdr:twoCellAnchor>
    <xdr:from>
      <xdr:col>9</xdr:col>
      <xdr:colOff>0</xdr:colOff>
      <xdr:row>11</xdr:row>
      <xdr:rowOff>0</xdr:rowOff>
    </xdr:from>
    <xdr:to>
      <xdr:col>11</xdr:col>
      <xdr:colOff>99060</xdr:colOff>
      <xdr:row>14</xdr:row>
      <xdr:rowOff>38100</xdr:rowOff>
    </xdr:to>
    <xdr:sp macro="" textlink="'Pivot Table'!C2">
      <xdr:nvSpPr>
        <xdr:cNvPr id="11" name="TextBox 10">
          <a:extLst>
            <a:ext uri="{FF2B5EF4-FFF2-40B4-BE49-F238E27FC236}">
              <a16:creationId xmlns:a16="http://schemas.microsoft.com/office/drawing/2014/main" id="{BE2D0ED1-C52C-4E4D-A46A-E6CD7564316E}"/>
            </a:ext>
          </a:extLst>
        </xdr:cNvPr>
        <xdr:cNvSpPr txBox="1"/>
      </xdr:nvSpPr>
      <xdr:spPr>
        <a:xfrm>
          <a:off x="7589520" y="2011680"/>
          <a:ext cx="1318260" cy="586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 Payload = </a:t>
          </a:r>
          <a:fld id="{7DD60C20-39C0-4C90-B876-19E1E0726BF0}" type="TxLink">
            <a:rPr lang="en-US" sz="1100" b="0" i="0" u="none" strike="noStrike">
              <a:solidFill>
                <a:srgbClr val="000000"/>
              </a:solidFill>
              <a:latin typeface="Calibri"/>
              <a:ea typeface="Calibri"/>
              <a:cs typeface="Calibri"/>
            </a:rPr>
            <a:pPr/>
            <a:t>30544183</a:t>
          </a:fld>
          <a:endParaRPr lang="en-US" sz="1100"/>
        </a:p>
      </xdr:txBody>
    </xdr:sp>
    <xdr:clientData/>
  </xdr:twoCellAnchor>
  <xdr:twoCellAnchor>
    <xdr:from>
      <xdr:col>9</xdr:col>
      <xdr:colOff>0</xdr:colOff>
      <xdr:row>15</xdr:row>
      <xdr:rowOff>0</xdr:rowOff>
    </xdr:from>
    <xdr:to>
      <xdr:col>12</xdr:col>
      <xdr:colOff>205740</xdr:colOff>
      <xdr:row>18</xdr:row>
      <xdr:rowOff>38100</xdr:rowOff>
    </xdr:to>
    <xdr:sp macro="" textlink="'Pivot Table'!D2">
      <xdr:nvSpPr>
        <xdr:cNvPr id="12" name="TextBox 11">
          <a:extLst>
            <a:ext uri="{FF2B5EF4-FFF2-40B4-BE49-F238E27FC236}">
              <a16:creationId xmlns:a16="http://schemas.microsoft.com/office/drawing/2014/main" id="{3CB2E903-78CE-49EF-A3E0-A47B7A1EE67E}"/>
            </a:ext>
          </a:extLst>
        </xdr:cNvPr>
        <xdr:cNvSpPr txBox="1"/>
      </xdr:nvSpPr>
      <xdr:spPr>
        <a:xfrm>
          <a:off x="7589520" y="2743200"/>
          <a:ext cx="2034540" cy="586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Average</a:t>
          </a:r>
          <a:r>
            <a:rPr lang="en-US" sz="1100" b="0" i="0" u="none" strike="noStrike" baseline="0">
              <a:solidFill>
                <a:srgbClr val="000000"/>
              </a:solidFill>
              <a:latin typeface="Calibri"/>
              <a:ea typeface="Calibri"/>
              <a:cs typeface="Calibri"/>
            </a:rPr>
            <a:t> Mission Duration = </a:t>
          </a:r>
          <a:fld id="{6E8D73A8-AA43-4595-83C9-F8FD4641425B}" type="TxLink">
            <a:rPr lang="en-US" sz="1100" b="0" i="0" u="none" strike="noStrike">
              <a:solidFill>
                <a:srgbClr val="000000"/>
              </a:solidFill>
              <a:latin typeface="Calibri"/>
              <a:ea typeface="Calibri"/>
              <a:cs typeface="Calibri"/>
            </a:rPr>
            <a:pPr/>
            <a:t>740.2891667</a:t>
          </a:fld>
          <a:endParaRPr lang="en-US" sz="1100"/>
        </a:p>
      </xdr:txBody>
    </xdr:sp>
    <xdr:clientData/>
  </xdr:twoCellAnchor>
  <xdr:twoCellAnchor>
    <xdr:from>
      <xdr:col>9</xdr:col>
      <xdr:colOff>0</xdr:colOff>
      <xdr:row>19</xdr:row>
      <xdr:rowOff>0</xdr:rowOff>
    </xdr:from>
    <xdr:to>
      <xdr:col>12</xdr:col>
      <xdr:colOff>205740</xdr:colOff>
      <xdr:row>22</xdr:row>
      <xdr:rowOff>38100</xdr:rowOff>
    </xdr:to>
    <xdr:sp macro="" textlink="'Pivot Table'!E2">
      <xdr:nvSpPr>
        <xdr:cNvPr id="13" name="TextBox 12">
          <a:extLst>
            <a:ext uri="{FF2B5EF4-FFF2-40B4-BE49-F238E27FC236}">
              <a16:creationId xmlns:a16="http://schemas.microsoft.com/office/drawing/2014/main" id="{188A6044-DEC7-4B90-A957-080D0F6C28AF}"/>
            </a:ext>
          </a:extLst>
        </xdr:cNvPr>
        <xdr:cNvSpPr txBox="1"/>
      </xdr:nvSpPr>
      <xdr:spPr>
        <a:xfrm>
          <a:off x="7589520" y="3474720"/>
          <a:ext cx="2034540" cy="586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Success Rate = </a:t>
          </a:r>
        </a:p>
        <a:p>
          <a:fld id="{820F6D98-37E1-4E9E-9822-0508BE46FD46}" type="TxLink">
            <a:rPr lang="en-US" sz="1100" b="0" i="0" u="none" strike="noStrike">
              <a:solidFill>
                <a:srgbClr val="000000"/>
              </a:solidFill>
              <a:latin typeface="Calibri"/>
              <a:ea typeface="Calibri"/>
              <a:cs typeface="Calibri"/>
            </a:rPr>
            <a:pPr/>
            <a:t>35.58%</a:t>
          </a:fld>
          <a:endParaRPr lang="en-US" sz="1100"/>
        </a:p>
      </xdr:txBody>
    </xdr:sp>
    <xdr:clientData/>
  </xdr:twoCellAnchor>
  <xdr:twoCellAnchor>
    <xdr:from>
      <xdr:col>2</xdr:col>
      <xdr:colOff>243840</xdr:colOff>
      <xdr:row>115</xdr:row>
      <xdr:rowOff>144780</xdr:rowOff>
    </xdr:from>
    <xdr:to>
      <xdr:col>7</xdr:col>
      <xdr:colOff>556260</xdr:colOff>
      <xdr:row>130</xdr:row>
      <xdr:rowOff>144780</xdr:rowOff>
    </xdr:to>
    <xdr:graphicFrame macro="">
      <xdr:nvGraphicFramePr>
        <xdr:cNvPr id="14" name="Chart 13">
          <a:extLst>
            <a:ext uri="{FF2B5EF4-FFF2-40B4-BE49-F238E27FC236}">
              <a16:creationId xmlns:a16="http://schemas.microsoft.com/office/drawing/2014/main" id="{4A390170-EA9A-4CF2-81F7-05C51CA98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236220</xdr:colOff>
      <xdr:row>67</xdr:row>
      <xdr:rowOff>30480</xdr:rowOff>
    </xdr:to>
    <xdr:sp macro="" textlink="">
      <xdr:nvSpPr>
        <xdr:cNvPr id="2" name="Rectangle 1">
          <a:extLst>
            <a:ext uri="{FF2B5EF4-FFF2-40B4-BE49-F238E27FC236}">
              <a16:creationId xmlns:a16="http://schemas.microsoft.com/office/drawing/2014/main" id="{69F4582F-C50A-4C6A-B06C-375CDC5DA1D6}"/>
            </a:ext>
          </a:extLst>
        </xdr:cNvPr>
        <xdr:cNvSpPr/>
      </xdr:nvSpPr>
      <xdr:spPr>
        <a:xfrm>
          <a:off x="0" y="0"/>
          <a:ext cx="14257020" cy="12283440"/>
        </a:xfrm>
        <a:prstGeom prst="rect">
          <a:avLst/>
        </a:prstGeom>
        <a:solidFill>
          <a:srgbClr val="122442"/>
        </a:solidFill>
        <a:effectLst>
          <a:glow rad="101600">
            <a:schemeClr val="bg1">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5</xdr:col>
      <xdr:colOff>563880</xdr:colOff>
      <xdr:row>7</xdr:row>
      <xdr:rowOff>137160</xdr:rowOff>
    </xdr:from>
    <xdr:to>
      <xdr:col>5</xdr:col>
      <xdr:colOff>564240</xdr:colOff>
      <xdr:row>7</xdr:row>
      <xdr:rowOff>137520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6" name="Ink 5">
              <a:extLst>
                <a:ext uri="{FF2B5EF4-FFF2-40B4-BE49-F238E27FC236}">
                  <a16:creationId xmlns:a16="http://schemas.microsoft.com/office/drawing/2014/main" id="{B4CBEDB5-0213-4B1A-9367-632ECAC5B396}"/>
                </a:ext>
              </a:extLst>
            </xdr14:cNvPr>
            <xdr14:cNvContentPartPr/>
          </xdr14:nvContentPartPr>
          <xdr14:nvPr macro=""/>
          <xdr14:xfrm>
            <a:off x="3611880" y="1417320"/>
            <a:ext cx="360" cy="360"/>
          </xdr14:xfrm>
        </xdr:contentPart>
      </mc:Choice>
      <mc:Fallback xmlns="">
        <xdr:pic>
          <xdr:nvPicPr>
            <xdr:cNvPr id="6" name="Ink 5">
              <a:extLst>
                <a:ext uri="{FF2B5EF4-FFF2-40B4-BE49-F238E27FC236}">
                  <a16:creationId xmlns:a16="http://schemas.microsoft.com/office/drawing/2014/main" id="{B4CBEDB5-0213-4B1A-9367-632ECAC5B396}"/>
                </a:ext>
              </a:extLst>
            </xdr:cNvPr>
            <xdr:cNvPicPr/>
          </xdr:nvPicPr>
          <xdr:blipFill>
            <a:blip xmlns:r="http://schemas.openxmlformats.org/officeDocument/2006/relationships" r:embed="rId2"/>
            <a:stretch>
              <a:fillRect/>
            </a:stretch>
          </xdr:blipFill>
          <xdr:spPr>
            <a:xfrm>
              <a:off x="3603240" y="1408680"/>
              <a:ext cx="18000" cy="18000"/>
            </a:xfrm>
            <a:prstGeom prst="rect">
              <a:avLst/>
            </a:prstGeom>
          </xdr:spPr>
        </xdr:pic>
      </mc:Fallback>
    </mc:AlternateContent>
    <xdr:clientData/>
  </xdr:twoCellAnchor>
  <xdr:twoCellAnchor editAs="oneCell">
    <xdr:from>
      <xdr:col>8</xdr:col>
      <xdr:colOff>0</xdr:colOff>
      <xdr:row>8</xdr:row>
      <xdr:rowOff>91440</xdr:rowOff>
    </xdr:from>
    <xdr:to>
      <xdr:col>8</xdr:col>
      <xdr:colOff>360</xdr:colOff>
      <xdr:row>8</xdr:row>
      <xdr:rowOff>99360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7" name="Ink 6">
              <a:extLst>
                <a:ext uri="{FF2B5EF4-FFF2-40B4-BE49-F238E27FC236}">
                  <a16:creationId xmlns:a16="http://schemas.microsoft.com/office/drawing/2014/main" id="{C39CE749-620B-45EE-9455-50C412938DF4}"/>
                </a:ext>
              </a:extLst>
            </xdr14:cNvPr>
            <xdr14:cNvContentPartPr/>
          </xdr14:nvContentPartPr>
          <xdr14:nvPr macro=""/>
          <xdr14:xfrm>
            <a:off x="4876800" y="1554480"/>
            <a:ext cx="360" cy="7920"/>
          </xdr14:xfrm>
        </xdr:contentPart>
      </mc:Choice>
      <mc:Fallback xmlns="">
        <xdr:pic>
          <xdr:nvPicPr>
            <xdr:cNvPr id="7" name="Ink 6">
              <a:extLst>
                <a:ext uri="{FF2B5EF4-FFF2-40B4-BE49-F238E27FC236}">
                  <a16:creationId xmlns:a16="http://schemas.microsoft.com/office/drawing/2014/main" id="{C39CE749-620B-45EE-9455-50C412938DF4}"/>
                </a:ext>
              </a:extLst>
            </xdr:cNvPr>
            <xdr:cNvPicPr/>
          </xdr:nvPicPr>
          <xdr:blipFill>
            <a:blip xmlns:r="http://schemas.openxmlformats.org/officeDocument/2006/relationships" r:embed="rId4"/>
            <a:stretch>
              <a:fillRect/>
            </a:stretch>
          </xdr:blipFill>
          <xdr:spPr>
            <a:xfrm>
              <a:off x="4868160" y="1545840"/>
              <a:ext cx="18000" cy="25560"/>
            </a:xfrm>
            <a:prstGeom prst="rect">
              <a:avLst/>
            </a:prstGeom>
          </xdr:spPr>
        </xdr:pic>
      </mc:Fallback>
    </mc:AlternateContent>
    <xdr:clientData/>
  </xdr:twoCellAnchor>
  <xdr:twoCellAnchor editAs="oneCell">
    <xdr:from>
      <xdr:col>7</xdr:col>
      <xdr:colOff>152160</xdr:colOff>
      <xdr:row>11</xdr:row>
      <xdr:rowOff>174960</xdr:rowOff>
    </xdr:from>
    <xdr:to>
      <xdr:col>7</xdr:col>
      <xdr:colOff>152520</xdr:colOff>
      <xdr:row>11</xdr:row>
      <xdr:rowOff>175320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8" name="Ink 7">
              <a:extLst>
                <a:ext uri="{FF2B5EF4-FFF2-40B4-BE49-F238E27FC236}">
                  <a16:creationId xmlns:a16="http://schemas.microsoft.com/office/drawing/2014/main" id="{821B24FD-6EFB-4786-B19F-B8E2C4BDE795}"/>
                </a:ext>
              </a:extLst>
            </xdr14:cNvPr>
            <xdr14:cNvContentPartPr/>
          </xdr14:nvContentPartPr>
          <xdr14:nvPr macro=""/>
          <xdr14:xfrm>
            <a:off x="4419360" y="2186640"/>
            <a:ext cx="360" cy="360"/>
          </xdr14:xfrm>
        </xdr:contentPart>
      </mc:Choice>
      <mc:Fallback xmlns="">
        <xdr:pic>
          <xdr:nvPicPr>
            <xdr:cNvPr id="8" name="Ink 7">
              <a:extLst>
                <a:ext uri="{FF2B5EF4-FFF2-40B4-BE49-F238E27FC236}">
                  <a16:creationId xmlns:a16="http://schemas.microsoft.com/office/drawing/2014/main" id="{821B24FD-6EFB-4786-B19F-B8E2C4BDE795}"/>
                </a:ext>
              </a:extLst>
            </xdr:cNvPr>
            <xdr:cNvPicPr/>
          </xdr:nvPicPr>
          <xdr:blipFill>
            <a:blip xmlns:r="http://schemas.openxmlformats.org/officeDocument/2006/relationships" r:embed="rId6"/>
            <a:stretch>
              <a:fillRect/>
            </a:stretch>
          </xdr:blipFill>
          <xdr:spPr>
            <a:xfrm>
              <a:off x="4410720" y="2178000"/>
              <a:ext cx="18000" cy="18000"/>
            </a:xfrm>
            <a:prstGeom prst="rect">
              <a:avLst/>
            </a:prstGeom>
          </xdr:spPr>
        </xdr:pic>
      </mc:Fallback>
    </mc:AlternateContent>
    <xdr:clientData/>
  </xdr:twoCellAnchor>
  <xdr:twoCellAnchor editAs="oneCell">
    <xdr:from>
      <xdr:col>11</xdr:col>
      <xdr:colOff>37920</xdr:colOff>
      <xdr:row>15</xdr:row>
      <xdr:rowOff>0</xdr:rowOff>
    </xdr:from>
    <xdr:to>
      <xdr:col>11</xdr:col>
      <xdr:colOff>38280</xdr:colOff>
      <xdr:row>15</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9" name="Ink 8">
              <a:extLst>
                <a:ext uri="{FF2B5EF4-FFF2-40B4-BE49-F238E27FC236}">
                  <a16:creationId xmlns:a16="http://schemas.microsoft.com/office/drawing/2014/main" id="{C6125B42-7913-4BC4-BD1B-1CD5CECBFD7A}"/>
                </a:ext>
              </a:extLst>
            </xdr14:cNvPr>
            <xdr14:cNvContentPartPr/>
          </xdr14:nvContentPartPr>
          <xdr14:nvPr macro=""/>
          <xdr14:xfrm>
            <a:off x="6743520" y="2743200"/>
            <a:ext cx="360" cy="360"/>
          </xdr14:xfrm>
        </xdr:contentPart>
      </mc:Choice>
      <mc:Fallback xmlns="">
        <xdr:pic>
          <xdr:nvPicPr>
            <xdr:cNvPr id="9" name="Ink 8">
              <a:extLst>
                <a:ext uri="{FF2B5EF4-FFF2-40B4-BE49-F238E27FC236}">
                  <a16:creationId xmlns:a16="http://schemas.microsoft.com/office/drawing/2014/main" id="{C6125B42-7913-4BC4-BD1B-1CD5CECBFD7A}"/>
                </a:ext>
              </a:extLst>
            </xdr:cNvPr>
            <xdr:cNvPicPr/>
          </xdr:nvPicPr>
          <xdr:blipFill>
            <a:blip xmlns:r="http://schemas.openxmlformats.org/officeDocument/2006/relationships" r:embed="rId8"/>
            <a:stretch>
              <a:fillRect/>
            </a:stretch>
          </xdr:blipFill>
          <xdr:spPr>
            <a:xfrm>
              <a:off x="6734880" y="2734560"/>
              <a:ext cx="18000" cy="18000"/>
            </a:xfrm>
            <a:prstGeom prst="rect">
              <a:avLst/>
            </a:prstGeom>
          </xdr:spPr>
        </xdr:pic>
      </mc:Fallback>
    </mc:AlternateContent>
    <xdr:clientData/>
  </xdr:twoCellAnchor>
  <xdr:twoCellAnchor editAs="oneCell">
    <xdr:from>
      <xdr:col>8</xdr:col>
      <xdr:colOff>449400</xdr:colOff>
      <xdr:row>19</xdr:row>
      <xdr:rowOff>152280</xdr:rowOff>
    </xdr:from>
    <xdr:to>
      <xdr:col>8</xdr:col>
      <xdr:colOff>449760</xdr:colOff>
      <xdr:row>19</xdr:row>
      <xdr:rowOff>152640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10" name="Ink 9">
              <a:extLst>
                <a:ext uri="{FF2B5EF4-FFF2-40B4-BE49-F238E27FC236}">
                  <a16:creationId xmlns:a16="http://schemas.microsoft.com/office/drawing/2014/main" id="{EBB1EAF4-CD81-45B7-960A-F9C9E7B4F44D}"/>
                </a:ext>
              </a:extLst>
            </xdr14:cNvPr>
            <xdr14:cNvContentPartPr/>
          </xdr14:nvContentPartPr>
          <xdr14:nvPr macro=""/>
          <xdr14:xfrm>
            <a:off x="5326200" y="3627000"/>
            <a:ext cx="360" cy="360"/>
          </xdr14:xfrm>
        </xdr:contentPart>
      </mc:Choice>
      <mc:Fallback xmlns="">
        <xdr:pic>
          <xdr:nvPicPr>
            <xdr:cNvPr id="10" name="Ink 9">
              <a:extLst>
                <a:ext uri="{FF2B5EF4-FFF2-40B4-BE49-F238E27FC236}">
                  <a16:creationId xmlns:a16="http://schemas.microsoft.com/office/drawing/2014/main" id="{EBB1EAF4-CD81-45B7-960A-F9C9E7B4F44D}"/>
                </a:ext>
              </a:extLst>
            </xdr:cNvPr>
            <xdr:cNvPicPr/>
          </xdr:nvPicPr>
          <xdr:blipFill>
            <a:blip xmlns:r="http://schemas.openxmlformats.org/officeDocument/2006/relationships" r:embed="rId10"/>
            <a:stretch>
              <a:fillRect/>
            </a:stretch>
          </xdr:blipFill>
          <xdr:spPr>
            <a:xfrm>
              <a:off x="5317560" y="3618360"/>
              <a:ext cx="18000" cy="18000"/>
            </a:xfrm>
            <a:prstGeom prst="rect">
              <a:avLst/>
            </a:prstGeom>
          </xdr:spPr>
        </xdr:pic>
      </mc:Fallback>
    </mc:AlternateContent>
    <xdr:clientData/>
  </xdr:twoCellAnchor>
  <xdr:twoCellAnchor editAs="oneCell">
    <xdr:from>
      <xdr:col>4</xdr:col>
      <xdr:colOff>441960</xdr:colOff>
      <xdr:row>15</xdr:row>
      <xdr:rowOff>75960</xdr:rowOff>
    </xdr:from>
    <xdr:to>
      <xdr:col>4</xdr:col>
      <xdr:colOff>442320</xdr:colOff>
      <xdr:row>15</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11" name="Ink 10">
              <a:extLst>
                <a:ext uri="{FF2B5EF4-FFF2-40B4-BE49-F238E27FC236}">
                  <a16:creationId xmlns:a16="http://schemas.microsoft.com/office/drawing/2014/main" id="{3CD6F7ED-9467-41CC-BFDA-536C5D674FA1}"/>
                </a:ext>
              </a:extLst>
            </xdr14:cNvPr>
            <xdr14:cNvContentPartPr/>
          </xdr14:nvContentPartPr>
          <xdr14:nvPr macro=""/>
          <xdr14:xfrm>
            <a:off x="2880360" y="2819160"/>
            <a:ext cx="360" cy="360"/>
          </xdr14:xfrm>
        </xdr:contentPart>
      </mc:Choice>
      <mc:Fallback xmlns="">
        <xdr:pic>
          <xdr:nvPicPr>
            <xdr:cNvPr id="11" name="Ink 10">
              <a:extLst>
                <a:ext uri="{FF2B5EF4-FFF2-40B4-BE49-F238E27FC236}">
                  <a16:creationId xmlns:a16="http://schemas.microsoft.com/office/drawing/2014/main" id="{3CD6F7ED-9467-41CC-BFDA-536C5D674FA1}"/>
                </a:ext>
              </a:extLst>
            </xdr:cNvPr>
            <xdr:cNvPicPr/>
          </xdr:nvPicPr>
          <xdr:blipFill>
            <a:blip xmlns:r="http://schemas.openxmlformats.org/officeDocument/2006/relationships" r:embed="rId12"/>
            <a:stretch>
              <a:fillRect/>
            </a:stretch>
          </xdr:blipFill>
          <xdr:spPr>
            <a:xfrm>
              <a:off x="2871720" y="2810520"/>
              <a:ext cx="18000" cy="18000"/>
            </a:xfrm>
            <a:prstGeom prst="rect">
              <a:avLst/>
            </a:prstGeom>
          </xdr:spPr>
        </xdr:pic>
      </mc:Fallback>
    </mc:AlternateContent>
    <xdr:clientData/>
  </xdr:twoCellAnchor>
  <xdr:twoCellAnchor editAs="oneCell">
    <xdr:from>
      <xdr:col>3</xdr:col>
      <xdr:colOff>0</xdr:colOff>
      <xdr:row>8</xdr:row>
      <xdr:rowOff>121680</xdr:rowOff>
    </xdr:from>
    <xdr:to>
      <xdr:col>3</xdr:col>
      <xdr:colOff>360</xdr:colOff>
      <xdr:row>8</xdr:row>
      <xdr:rowOff>122040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12" name="Ink 11">
              <a:extLst>
                <a:ext uri="{FF2B5EF4-FFF2-40B4-BE49-F238E27FC236}">
                  <a16:creationId xmlns:a16="http://schemas.microsoft.com/office/drawing/2014/main" id="{BD54548D-08F4-4496-A0C1-953D2B086703}"/>
                </a:ext>
              </a:extLst>
            </xdr14:cNvPr>
            <xdr14:cNvContentPartPr/>
          </xdr14:nvContentPartPr>
          <xdr14:nvPr macro=""/>
          <xdr14:xfrm>
            <a:off x="1828800" y="1584720"/>
            <a:ext cx="360" cy="360"/>
          </xdr14:xfrm>
        </xdr:contentPart>
      </mc:Choice>
      <mc:Fallback xmlns="">
        <xdr:pic>
          <xdr:nvPicPr>
            <xdr:cNvPr id="12" name="Ink 11">
              <a:extLst>
                <a:ext uri="{FF2B5EF4-FFF2-40B4-BE49-F238E27FC236}">
                  <a16:creationId xmlns:a16="http://schemas.microsoft.com/office/drawing/2014/main" id="{BD54548D-08F4-4496-A0C1-953D2B086703}"/>
                </a:ext>
              </a:extLst>
            </xdr:cNvPr>
            <xdr:cNvPicPr/>
          </xdr:nvPicPr>
          <xdr:blipFill>
            <a:blip xmlns:r="http://schemas.openxmlformats.org/officeDocument/2006/relationships" r:embed="rId14"/>
            <a:stretch>
              <a:fillRect/>
            </a:stretch>
          </xdr:blipFill>
          <xdr:spPr>
            <a:xfrm>
              <a:off x="1820160" y="1576080"/>
              <a:ext cx="18000" cy="18000"/>
            </a:xfrm>
            <a:prstGeom prst="rect">
              <a:avLst/>
            </a:prstGeom>
          </xdr:spPr>
        </xdr:pic>
      </mc:Fallback>
    </mc:AlternateContent>
    <xdr:clientData/>
  </xdr:twoCellAnchor>
  <xdr:twoCellAnchor editAs="oneCell">
    <xdr:from>
      <xdr:col>1</xdr:col>
      <xdr:colOff>197880</xdr:colOff>
      <xdr:row>3</xdr:row>
      <xdr:rowOff>121680</xdr:rowOff>
    </xdr:from>
    <xdr:to>
      <xdr:col>1</xdr:col>
      <xdr:colOff>198240</xdr:colOff>
      <xdr:row>3</xdr:row>
      <xdr:rowOff>122040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13" name="Ink 12">
              <a:extLst>
                <a:ext uri="{FF2B5EF4-FFF2-40B4-BE49-F238E27FC236}">
                  <a16:creationId xmlns:a16="http://schemas.microsoft.com/office/drawing/2014/main" id="{49E36E4A-3570-4FC3-B963-970513558D9F}"/>
                </a:ext>
              </a:extLst>
            </xdr14:cNvPr>
            <xdr14:cNvContentPartPr/>
          </xdr14:nvContentPartPr>
          <xdr14:nvPr macro=""/>
          <xdr14:xfrm>
            <a:off x="807480" y="670320"/>
            <a:ext cx="360" cy="360"/>
          </xdr14:xfrm>
        </xdr:contentPart>
      </mc:Choice>
      <mc:Fallback xmlns="">
        <xdr:pic>
          <xdr:nvPicPr>
            <xdr:cNvPr id="13" name="Ink 12">
              <a:extLst>
                <a:ext uri="{FF2B5EF4-FFF2-40B4-BE49-F238E27FC236}">
                  <a16:creationId xmlns:a16="http://schemas.microsoft.com/office/drawing/2014/main" id="{49E36E4A-3570-4FC3-B963-970513558D9F}"/>
                </a:ext>
              </a:extLst>
            </xdr:cNvPr>
            <xdr:cNvPicPr/>
          </xdr:nvPicPr>
          <xdr:blipFill>
            <a:blip xmlns:r="http://schemas.openxmlformats.org/officeDocument/2006/relationships" r:embed="rId16"/>
            <a:stretch>
              <a:fillRect/>
            </a:stretch>
          </xdr:blipFill>
          <xdr:spPr>
            <a:xfrm>
              <a:off x="798840" y="661680"/>
              <a:ext cx="18000" cy="18000"/>
            </a:xfrm>
            <a:prstGeom prst="rect">
              <a:avLst/>
            </a:prstGeom>
          </xdr:spPr>
        </xdr:pic>
      </mc:Fallback>
    </mc:AlternateContent>
    <xdr:clientData/>
  </xdr:twoCellAnchor>
  <xdr:twoCellAnchor editAs="oneCell">
    <xdr:from>
      <xdr:col>1</xdr:col>
      <xdr:colOff>411360</xdr:colOff>
      <xdr:row>13</xdr:row>
      <xdr:rowOff>53280</xdr:rowOff>
    </xdr:from>
    <xdr:to>
      <xdr:col>1</xdr:col>
      <xdr:colOff>411720</xdr:colOff>
      <xdr:row>13</xdr:row>
      <xdr:rowOff>53640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
          <xdr14:nvContentPartPr>
            <xdr14:cNvPr id="14" name="Ink 13">
              <a:extLst>
                <a:ext uri="{FF2B5EF4-FFF2-40B4-BE49-F238E27FC236}">
                  <a16:creationId xmlns:a16="http://schemas.microsoft.com/office/drawing/2014/main" id="{A3A08CA1-8B30-4519-A7AD-F84D8994F94B}"/>
                </a:ext>
              </a:extLst>
            </xdr14:cNvPr>
            <xdr14:cNvContentPartPr/>
          </xdr14:nvContentPartPr>
          <xdr14:nvPr macro=""/>
          <xdr14:xfrm>
            <a:off x="1020960" y="2430720"/>
            <a:ext cx="360" cy="360"/>
          </xdr14:xfrm>
        </xdr:contentPart>
      </mc:Choice>
      <mc:Fallback xmlns="">
        <xdr:pic>
          <xdr:nvPicPr>
            <xdr:cNvPr id="14" name="Ink 13">
              <a:extLst>
                <a:ext uri="{FF2B5EF4-FFF2-40B4-BE49-F238E27FC236}">
                  <a16:creationId xmlns:a16="http://schemas.microsoft.com/office/drawing/2014/main" id="{A3A08CA1-8B30-4519-A7AD-F84D8994F94B}"/>
                </a:ext>
              </a:extLst>
            </xdr:cNvPr>
            <xdr:cNvPicPr/>
          </xdr:nvPicPr>
          <xdr:blipFill>
            <a:blip xmlns:r="http://schemas.openxmlformats.org/officeDocument/2006/relationships" r:embed="rId18"/>
            <a:stretch>
              <a:fillRect/>
            </a:stretch>
          </xdr:blipFill>
          <xdr:spPr>
            <a:xfrm>
              <a:off x="1012320" y="2422080"/>
              <a:ext cx="18000" cy="18000"/>
            </a:xfrm>
            <a:prstGeom prst="rect">
              <a:avLst/>
            </a:prstGeom>
          </xdr:spPr>
        </xdr:pic>
      </mc:Fallback>
    </mc:AlternateContent>
    <xdr:clientData/>
  </xdr:twoCellAnchor>
  <xdr:twoCellAnchor editAs="oneCell">
    <xdr:from>
      <xdr:col>0</xdr:col>
      <xdr:colOff>205560</xdr:colOff>
      <xdr:row>19</xdr:row>
      <xdr:rowOff>167400</xdr:rowOff>
    </xdr:from>
    <xdr:to>
      <xdr:col>0</xdr:col>
      <xdr:colOff>205920</xdr:colOff>
      <xdr:row>19</xdr:row>
      <xdr:rowOff>167760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
          <xdr14:nvContentPartPr>
            <xdr14:cNvPr id="15" name="Ink 14">
              <a:extLst>
                <a:ext uri="{FF2B5EF4-FFF2-40B4-BE49-F238E27FC236}">
                  <a16:creationId xmlns:a16="http://schemas.microsoft.com/office/drawing/2014/main" id="{66DF6100-6AC6-4332-812F-B4D8F4B05E9F}"/>
                </a:ext>
              </a:extLst>
            </xdr14:cNvPr>
            <xdr14:cNvContentPartPr/>
          </xdr14:nvContentPartPr>
          <xdr14:nvPr macro=""/>
          <xdr14:xfrm>
            <a:off x="205560" y="3642120"/>
            <a:ext cx="360" cy="360"/>
          </xdr14:xfrm>
        </xdr:contentPart>
      </mc:Choice>
      <mc:Fallback xmlns="">
        <xdr:pic>
          <xdr:nvPicPr>
            <xdr:cNvPr id="15" name="Ink 14">
              <a:extLst>
                <a:ext uri="{FF2B5EF4-FFF2-40B4-BE49-F238E27FC236}">
                  <a16:creationId xmlns:a16="http://schemas.microsoft.com/office/drawing/2014/main" id="{66DF6100-6AC6-4332-812F-B4D8F4B05E9F}"/>
                </a:ext>
              </a:extLst>
            </xdr:cNvPr>
            <xdr:cNvPicPr/>
          </xdr:nvPicPr>
          <xdr:blipFill>
            <a:blip xmlns:r="http://schemas.openxmlformats.org/officeDocument/2006/relationships" r:embed="rId20"/>
            <a:stretch>
              <a:fillRect/>
            </a:stretch>
          </xdr:blipFill>
          <xdr:spPr>
            <a:xfrm>
              <a:off x="196920" y="3633480"/>
              <a:ext cx="18000" cy="18000"/>
            </a:xfrm>
            <a:prstGeom prst="rect">
              <a:avLst/>
            </a:prstGeom>
          </xdr:spPr>
        </xdr:pic>
      </mc:Fallback>
    </mc:AlternateContent>
    <xdr:clientData/>
  </xdr:twoCellAnchor>
  <xdr:twoCellAnchor editAs="oneCell">
    <xdr:from>
      <xdr:col>2</xdr:col>
      <xdr:colOff>342840</xdr:colOff>
      <xdr:row>23</xdr:row>
      <xdr:rowOff>152280</xdr:rowOff>
    </xdr:from>
    <xdr:to>
      <xdr:col>2</xdr:col>
      <xdr:colOff>343200</xdr:colOff>
      <xdr:row>23</xdr:row>
      <xdr:rowOff>152640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
          <xdr14:nvContentPartPr>
            <xdr14:cNvPr id="16" name="Ink 15">
              <a:extLst>
                <a:ext uri="{FF2B5EF4-FFF2-40B4-BE49-F238E27FC236}">
                  <a16:creationId xmlns:a16="http://schemas.microsoft.com/office/drawing/2014/main" id="{C659A017-C84B-4A83-B756-2BD67FB5D5CA}"/>
                </a:ext>
              </a:extLst>
            </xdr14:cNvPr>
            <xdr14:cNvContentPartPr/>
          </xdr14:nvContentPartPr>
          <xdr14:nvPr macro=""/>
          <xdr14:xfrm>
            <a:off x="1562040" y="4358520"/>
            <a:ext cx="360" cy="360"/>
          </xdr14:xfrm>
        </xdr:contentPart>
      </mc:Choice>
      <mc:Fallback xmlns="">
        <xdr:pic>
          <xdr:nvPicPr>
            <xdr:cNvPr id="16" name="Ink 15">
              <a:extLst>
                <a:ext uri="{FF2B5EF4-FFF2-40B4-BE49-F238E27FC236}">
                  <a16:creationId xmlns:a16="http://schemas.microsoft.com/office/drawing/2014/main" id="{C659A017-C84B-4A83-B756-2BD67FB5D5CA}"/>
                </a:ext>
              </a:extLst>
            </xdr:cNvPr>
            <xdr:cNvPicPr/>
          </xdr:nvPicPr>
          <xdr:blipFill>
            <a:blip xmlns:r="http://schemas.openxmlformats.org/officeDocument/2006/relationships" r:embed="rId22"/>
            <a:stretch>
              <a:fillRect/>
            </a:stretch>
          </xdr:blipFill>
          <xdr:spPr>
            <a:xfrm>
              <a:off x="1553400" y="4349880"/>
              <a:ext cx="18000" cy="18000"/>
            </a:xfrm>
            <a:prstGeom prst="rect">
              <a:avLst/>
            </a:prstGeom>
          </xdr:spPr>
        </xdr:pic>
      </mc:Fallback>
    </mc:AlternateContent>
    <xdr:clientData/>
  </xdr:twoCellAnchor>
  <xdr:twoCellAnchor editAs="oneCell">
    <xdr:from>
      <xdr:col>6</xdr:col>
      <xdr:colOff>388440</xdr:colOff>
      <xdr:row>22</xdr:row>
      <xdr:rowOff>45720</xdr:rowOff>
    </xdr:from>
    <xdr:to>
      <xdr:col>6</xdr:col>
      <xdr:colOff>388800</xdr:colOff>
      <xdr:row>22</xdr:row>
      <xdr:rowOff>46080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
          <xdr14:nvContentPartPr>
            <xdr14:cNvPr id="17" name="Ink 16">
              <a:extLst>
                <a:ext uri="{FF2B5EF4-FFF2-40B4-BE49-F238E27FC236}">
                  <a16:creationId xmlns:a16="http://schemas.microsoft.com/office/drawing/2014/main" id="{3FC00E9F-9E1E-42CB-85B2-58EC31F8041F}"/>
                </a:ext>
              </a:extLst>
            </xdr14:cNvPr>
            <xdr14:cNvContentPartPr/>
          </xdr14:nvContentPartPr>
          <xdr14:nvPr macro=""/>
          <xdr14:xfrm>
            <a:off x="4046040" y="4069080"/>
            <a:ext cx="360" cy="360"/>
          </xdr14:xfrm>
        </xdr:contentPart>
      </mc:Choice>
      <mc:Fallback xmlns="">
        <xdr:pic>
          <xdr:nvPicPr>
            <xdr:cNvPr id="17" name="Ink 16">
              <a:extLst>
                <a:ext uri="{FF2B5EF4-FFF2-40B4-BE49-F238E27FC236}">
                  <a16:creationId xmlns:a16="http://schemas.microsoft.com/office/drawing/2014/main" id="{3FC00E9F-9E1E-42CB-85B2-58EC31F8041F}"/>
                </a:ext>
              </a:extLst>
            </xdr:cNvPr>
            <xdr:cNvPicPr/>
          </xdr:nvPicPr>
          <xdr:blipFill>
            <a:blip xmlns:r="http://schemas.openxmlformats.org/officeDocument/2006/relationships" r:embed="rId24"/>
            <a:stretch>
              <a:fillRect/>
            </a:stretch>
          </xdr:blipFill>
          <xdr:spPr>
            <a:xfrm>
              <a:off x="4037400" y="4060440"/>
              <a:ext cx="18000" cy="18000"/>
            </a:xfrm>
            <a:prstGeom prst="rect">
              <a:avLst/>
            </a:prstGeom>
          </xdr:spPr>
        </xdr:pic>
      </mc:Fallback>
    </mc:AlternateContent>
    <xdr:clientData/>
  </xdr:twoCellAnchor>
  <xdr:twoCellAnchor editAs="oneCell">
    <xdr:from>
      <xdr:col>9</xdr:col>
      <xdr:colOff>396000</xdr:colOff>
      <xdr:row>2</xdr:row>
      <xdr:rowOff>129240</xdr:rowOff>
    </xdr:from>
    <xdr:to>
      <xdr:col>9</xdr:col>
      <xdr:colOff>396360</xdr:colOff>
      <xdr:row>2</xdr:row>
      <xdr:rowOff>129600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
          <xdr14:nvContentPartPr>
            <xdr14:cNvPr id="18" name="Ink 17">
              <a:extLst>
                <a:ext uri="{FF2B5EF4-FFF2-40B4-BE49-F238E27FC236}">
                  <a16:creationId xmlns:a16="http://schemas.microsoft.com/office/drawing/2014/main" id="{C1051C74-003B-42AB-ADBB-90E3B47FA9FB}"/>
                </a:ext>
              </a:extLst>
            </xdr14:cNvPr>
            <xdr14:cNvContentPartPr/>
          </xdr14:nvContentPartPr>
          <xdr14:nvPr macro=""/>
          <xdr14:xfrm>
            <a:off x="5882400" y="495000"/>
            <a:ext cx="360" cy="360"/>
          </xdr14:xfrm>
        </xdr:contentPart>
      </mc:Choice>
      <mc:Fallback xmlns="">
        <xdr:pic>
          <xdr:nvPicPr>
            <xdr:cNvPr id="18" name="Ink 17">
              <a:extLst>
                <a:ext uri="{FF2B5EF4-FFF2-40B4-BE49-F238E27FC236}">
                  <a16:creationId xmlns:a16="http://schemas.microsoft.com/office/drawing/2014/main" id="{C1051C74-003B-42AB-ADBB-90E3B47FA9FB}"/>
                </a:ext>
              </a:extLst>
            </xdr:cNvPr>
            <xdr:cNvPicPr/>
          </xdr:nvPicPr>
          <xdr:blipFill>
            <a:blip xmlns:r="http://schemas.openxmlformats.org/officeDocument/2006/relationships" r:embed="rId26"/>
            <a:stretch>
              <a:fillRect/>
            </a:stretch>
          </xdr:blipFill>
          <xdr:spPr>
            <a:xfrm>
              <a:off x="5873760" y="486360"/>
              <a:ext cx="18000" cy="18000"/>
            </a:xfrm>
            <a:prstGeom prst="rect">
              <a:avLst/>
            </a:prstGeom>
          </xdr:spPr>
        </xdr:pic>
      </mc:Fallback>
    </mc:AlternateContent>
    <xdr:clientData/>
  </xdr:twoCellAnchor>
  <xdr:twoCellAnchor editAs="oneCell">
    <xdr:from>
      <xdr:col>11</xdr:col>
      <xdr:colOff>114240</xdr:colOff>
      <xdr:row>5</xdr:row>
      <xdr:rowOff>99000</xdr:rowOff>
    </xdr:from>
    <xdr:to>
      <xdr:col>11</xdr:col>
      <xdr:colOff>114600</xdr:colOff>
      <xdr:row>5</xdr:row>
      <xdr:rowOff>99360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
          <xdr14:nvContentPartPr>
            <xdr14:cNvPr id="19" name="Ink 18">
              <a:extLst>
                <a:ext uri="{FF2B5EF4-FFF2-40B4-BE49-F238E27FC236}">
                  <a16:creationId xmlns:a16="http://schemas.microsoft.com/office/drawing/2014/main" id="{550CDD11-DC7C-46AB-AF46-7A92377BB271}"/>
                </a:ext>
              </a:extLst>
            </xdr14:cNvPr>
            <xdr14:cNvContentPartPr/>
          </xdr14:nvContentPartPr>
          <xdr14:nvPr macro=""/>
          <xdr14:xfrm>
            <a:off x="6819840" y="1013400"/>
            <a:ext cx="360" cy="360"/>
          </xdr14:xfrm>
        </xdr:contentPart>
      </mc:Choice>
      <mc:Fallback xmlns="">
        <xdr:pic>
          <xdr:nvPicPr>
            <xdr:cNvPr id="19" name="Ink 18">
              <a:extLst>
                <a:ext uri="{FF2B5EF4-FFF2-40B4-BE49-F238E27FC236}">
                  <a16:creationId xmlns:a16="http://schemas.microsoft.com/office/drawing/2014/main" id="{550CDD11-DC7C-46AB-AF46-7A92377BB271}"/>
                </a:ext>
              </a:extLst>
            </xdr:cNvPr>
            <xdr:cNvPicPr/>
          </xdr:nvPicPr>
          <xdr:blipFill>
            <a:blip xmlns:r="http://schemas.openxmlformats.org/officeDocument/2006/relationships" r:embed="rId28"/>
            <a:stretch>
              <a:fillRect/>
            </a:stretch>
          </xdr:blipFill>
          <xdr:spPr>
            <a:xfrm>
              <a:off x="6811200" y="1004760"/>
              <a:ext cx="18000" cy="18000"/>
            </a:xfrm>
            <a:prstGeom prst="rect">
              <a:avLst/>
            </a:prstGeom>
          </xdr:spPr>
        </xdr:pic>
      </mc:Fallback>
    </mc:AlternateContent>
    <xdr:clientData/>
  </xdr:twoCellAnchor>
  <xdr:twoCellAnchor editAs="oneCell">
    <xdr:from>
      <xdr:col>20</xdr:col>
      <xdr:colOff>190200</xdr:colOff>
      <xdr:row>11</xdr:row>
      <xdr:rowOff>114120</xdr:rowOff>
    </xdr:from>
    <xdr:to>
      <xdr:col>20</xdr:col>
      <xdr:colOff>190560</xdr:colOff>
      <xdr:row>11</xdr:row>
      <xdr:rowOff>114480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
          <xdr14:nvContentPartPr>
            <xdr14:cNvPr id="20" name="Ink 19">
              <a:extLst>
                <a:ext uri="{FF2B5EF4-FFF2-40B4-BE49-F238E27FC236}">
                  <a16:creationId xmlns:a16="http://schemas.microsoft.com/office/drawing/2014/main" id="{253F9D09-AC03-43A6-8907-06B60AA68C04}"/>
                </a:ext>
              </a:extLst>
            </xdr14:cNvPr>
            <xdr14:cNvContentPartPr/>
          </xdr14:nvContentPartPr>
          <xdr14:nvPr macro=""/>
          <xdr14:xfrm>
            <a:off x="12382200" y="2125800"/>
            <a:ext cx="360" cy="360"/>
          </xdr14:xfrm>
        </xdr:contentPart>
      </mc:Choice>
      <mc:Fallback xmlns="">
        <xdr:pic>
          <xdr:nvPicPr>
            <xdr:cNvPr id="20" name="Ink 19">
              <a:extLst>
                <a:ext uri="{FF2B5EF4-FFF2-40B4-BE49-F238E27FC236}">
                  <a16:creationId xmlns:a16="http://schemas.microsoft.com/office/drawing/2014/main" id="{253F9D09-AC03-43A6-8907-06B60AA68C04}"/>
                </a:ext>
              </a:extLst>
            </xdr:cNvPr>
            <xdr:cNvPicPr/>
          </xdr:nvPicPr>
          <xdr:blipFill>
            <a:blip xmlns:r="http://schemas.openxmlformats.org/officeDocument/2006/relationships" r:embed="rId30"/>
            <a:stretch>
              <a:fillRect/>
            </a:stretch>
          </xdr:blipFill>
          <xdr:spPr>
            <a:xfrm>
              <a:off x="12373560" y="2117160"/>
              <a:ext cx="18000" cy="18000"/>
            </a:xfrm>
            <a:prstGeom prst="rect">
              <a:avLst/>
            </a:prstGeom>
          </xdr:spPr>
        </xdr:pic>
      </mc:Fallback>
    </mc:AlternateContent>
    <xdr:clientData/>
  </xdr:twoCellAnchor>
  <xdr:twoCellAnchor editAs="oneCell">
    <xdr:from>
      <xdr:col>17</xdr:col>
      <xdr:colOff>418800</xdr:colOff>
      <xdr:row>8</xdr:row>
      <xdr:rowOff>167400</xdr:rowOff>
    </xdr:from>
    <xdr:to>
      <xdr:col>17</xdr:col>
      <xdr:colOff>419160</xdr:colOff>
      <xdr:row>8</xdr:row>
      <xdr:rowOff>167760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
          <xdr14:nvContentPartPr>
            <xdr14:cNvPr id="24" name="Ink 23">
              <a:extLst>
                <a:ext uri="{FF2B5EF4-FFF2-40B4-BE49-F238E27FC236}">
                  <a16:creationId xmlns:a16="http://schemas.microsoft.com/office/drawing/2014/main" id="{A7948329-0FFC-46E4-9E28-FD53D8A32078}"/>
                </a:ext>
              </a:extLst>
            </xdr14:cNvPr>
            <xdr14:cNvContentPartPr/>
          </xdr14:nvContentPartPr>
          <xdr14:nvPr macro=""/>
          <xdr14:xfrm>
            <a:off x="10782000" y="1630440"/>
            <a:ext cx="360" cy="360"/>
          </xdr14:xfrm>
        </xdr:contentPart>
      </mc:Choice>
      <mc:Fallback xmlns="">
        <xdr:pic>
          <xdr:nvPicPr>
            <xdr:cNvPr id="24" name="Ink 23">
              <a:extLst>
                <a:ext uri="{FF2B5EF4-FFF2-40B4-BE49-F238E27FC236}">
                  <a16:creationId xmlns:a16="http://schemas.microsoft.com/office/drawing/2014/main" id="{A7948329-0FFC-46E4-9E28-FD53D8A32078}"/>
                </a:ext>
              </a:extLst>
            </xdr:cNvPr>
            <xdr:cNvPicPr/>
          </xdr:nvPicPr>
          <xdr:blipFill>
            <a:blip xmlns:r="http://schemas.openxmlformats.org/officeDocument/2006/relationships" r:embed="rId32"/>
            <a:stretch>
              <a:fillRect/>
            </a:stretch>
          </xdr:blipFill>
          <xdr:spPr>
            <a:xfrm>
              <a:off x="10773360" y="1621800"/>
              <a:ext cx="18000" cy="18000"/>
            </a:xfrm>
            <a:prstGeom prst="rect">
              <a:avLst/>
            </a:prstGeom>
          </xdr:spPr>
        </xdr:pic>
      </mc:Fallback>
    </mc:AlternateContent>
    <xdr:clientData/>
  </xdr:twoCellAnchor>
  <xdr:twoCellAnchor editAs="oneCell">
    <xdr:from>
      <xdr:col>18</xdr:col>
      <xdr:colOff>371520</xdr:colOff>
      <xdr:row>5</xdr:row>
      <xdr:rowOff>99000</xdr:rowOff>
    </xdr:from>
    <xdr:to>
      <xdr:col>19</xdr:col>
      <xdr:colOff>327840</xdr:colOff>
      <xdr:row>7</xdr:row>
      <xdr:rowOff>92160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
          <xdr14:nvContentPartPr>
            <xdr14:cNvPr id="25" name="Ink 24">
              <a:extLst>
                <a:ext uri="{FF2B5EF4-FFF2-40B4-BE49-F238E27FC236}">
                  <a16:creationId xmlns:a16="http://schemas.microsoft.com/office/drawing/2014/main" id="{D4619F8E-772F-435A-BD0C-ABE6166CFAC6}"/>
                </a:ext>
              </a:extLst>
            </xdr14:cNvPr>
            <xdr14:cNvContentPartPr/>
          </xdr14:nvContentPartPr>
          <xdr14:nvPr macro=""/>
          <xdr14:xfrm>
            <a:off x="11344320" y="1013400"/>
            <a:ext cx="565920" cy="358920"/>
          </xdr14:xfrm>
        </xdr:contentPart>
      </mc:Choice>
      <mc:Fallback xmlns="">
        <xdr:pic>
          <xdr:nvPicPr>
            <xdr:cNvPr id="25" name="Ink 24">
              <a:extLst>
                <a:ext uri="{FF2B5EF4-FFF2-40B4-BE49-F238E27FC236}">
                  <a16:creationId xmlns:a16="http://schemas.microsoft.com/office/drawing/2014/main" id="{D4619F8E-772F-435A-BD0C-ABE6166CFAC6}"/>
                </a:ext>
              </a:extLst>
            </xdr:cNvPr>
            <xdr:cNvPicPr/>
          </xdr:nvPicPr>
          <xdr:blipFill>
            <a:blip xmlns:r="http://schemas.openxmlformats.org/officeDocument/2006/relationships" r:embed="rId34"/>
            <a:stretch>
              <a:fillRect/>
            </a:stretch>
          </xdr:blipFill>
          <xdr:spPr>
            <a:xfrm>
              <a:off x="11335680" y="1004760"/>
              <a:ext cx="583560" cy="376560"/>
            </a:xfrm>
            <a:prstGeom prst="rect">
              <a:avLst/>
            </a:prstGeom>
          </xdr:spPr>
        </xdr:pic>
      </mc:Fallback>
    </mc:AlternateContent>
    <xdr:clientData/>
  </xdr:twoCellAnchor>
  <xdr:twoCellAnchor editAs="oneCell">
    <xdr:from>
      <xdr:col>17</xdr:col>
      <xdr:colOff>213240</xdr:colOff>
      <xdr:row>13</xdr:row>
      <xdr:rowOff>129240</xdr:rowOff>
    </xdr:from>
    <xdr:to>
      <xdr:col>17</xdr:col>
      <xdr:colOff>213600</xdr:colOff>
      <xdr:row>13</xdr:row>
      <xdr:rowOff>129600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
          <xdr14:nvContentPartPr>
            <xdr14:cNvPr id="26" name="Ink 25">
              <a:extLst>
                <a:ext uri="{FF2B5EF4-FFF2-40B4-BE49-F238E27FC236}">
                  <a16:creationId xmlns:a16="http://schemas.microsoft.com/office/drawing/2014/main" id="{8C5E227D-BB8A-43C0-837C-0BADA2826B2A}"/>
                </a:ext>
              </a:extLst>
            </xdr14:cNvPr>
            <xdr14:cNvContentPartPr/>
          </xdr14:nvContentPartPr>
          <xdr14:nvPr macro=""/>
          <xdr14:xfrm>
            <a:off x="10576440" y="2506680"/>
            <a:ext cx="360" cy="360"/>
          </xdr14:xfrm>
        </xdr:contentPart>
      </mc:Choice>
      <mc:Fallback xmlns="">
        <xdr:pic>
          <xdr:nvPicPr>
            <xdr:cNvPr id="26" name="Ink 25">
              <a:extLst>
                <a:ext uri="{FF2B5EF4-FFF2-40B4-BE49-F238E27FC236}">
                  <a16:creationId xmlns:a16="http://schemas.microsoft.com/office/drawing/2014/main" id="{8C5E227D-BB8A-43C0-837C-0BADA2826B2A}"/>
                </a:ext>
              </a:extLst>
            </xdr:cNvPr>
            <xdr:cNvPicPr/>
          </xdr:nvPicPr>
          <xdr:blipFill>
            <a:blip xmlns:r="http://schemas.openxmlformats.org/officeDocument/2006/relationships" r:embed="rId36"/>
            <a:stretch>
              <a:fillRect/>
            </a:stretch>
          </xdr:blipFill>
          <xdr:spPr>
            <a:xfrm>
              <a:off x="10567800" y="2498040"/>
              <a:ext cx="18000" cy="18000"/>
            </a:xfrm>
            <a:prstGeom prst="rect">
              <a:avLst/>
            </a:prstGeom>
          </xdr:spPr>
        </xdr:pic>
      </mc:Fallback>
    </mc:AlternateContent>
    <xdr:clientData/>
  </xdr:twoCellAnchor>
  <xdr:twoCellAnchor editAs="oneCell">
    <xdr:from>
      <xdr:col>14</xdr:col>
      <xdr:colOff>434280</xdr:colOff>
      <xdr:row>7</xdr:row>
      <xdr:rowOff>159840</xdr:rowOff>
    </xdr:from>
    <xdr:to>
      <xdr:col>14</xdr:col>
      <xdr:colOff>434640</xdr:colOff>
      <xdr:row>7</xdr:row>
      <xdr:rowOff>160200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
          <xdr14:nvContentPartPr>
            <xdr14:cNvPr id="27" name="Ink 26">
              <a:extLst>
                <a:ext uri="{FF2B5EF4-FFF2-40B4-BE49-F238E27FC236}">
                  <a16:creationId xmlns:a16="http://schemas.microsoft.com/office/drawing/2014/main" id="{C999091E-6F35-4ACC-A092-6686AD4351C8}"/>
                </a:ext>
              </a:extLst>
            </xdr14:cNvPr>
            <xdr14:cNvContentPartPr/>
          </xdr14:nvContentPartPr>
          <xdr14:nvPr macro=""/>
          <xdr14:xfrm>
            <a:off x="8968680" y="1440000"/>
            <a:ext cx="360" cy="360"/>
          </xdr14:xfrm>
        </xdr:contentPart>
      </mc:Choice>
      <mc:Fallback xmlns="">
        <xdr:pic>
          <xdr:nvPicPr>
            <xdr:cNvPr id="27" name="Ink 26">
              <a:extLst>
                <a:ext uri="{FF2B5EF4-FFF2-40B4-BE49-F238E27FC236}">
                  <a16:creationId xmlns:a16="http://schemas.microsoft.com/office/drawing/2014/main" id="{C999091E-6F35-4ACC-A092-6686AD4351C8}"/>
                </a:ext>
              </a:extLst>
            </xdr:cNvPr>
            <xdr:cNvPicPr/>
          </xdr:nvPicPr>
          <xdr:blipFill>
            <a:blip xmlns:r="http://schemas.openxmlformats.org/officeDocument/2006/relationships" r:embed="rId38"/>
            <a:stretch>
              <a:fillRect/>
            </a:stretch>
          </xdr:blipFill>
          <xdr:spPr>
            <a:xfrm>
              <a:off x="8960040" y="1431360"/>
              <a:ext cx="18000" cy="18000"/>
            </a:xfrm>
            <a:prstGeom prst="rect">
              <a:avLst/>
            </a:prstGeom>
          </xdr:spPr>
        </xdr:pic>
      </mc:Fallback>
    </mc:AlternateContent>
    <xdr:clientData/>
  </xdr:twoCellAnchor>
  <xdr:twoCellAnchor editAs="oneCell">
    <xdr:from>
      <xdr:col>14</xdr:col>
      <xdr:colOff>411240</xdr:colOff>
      <xdr:row>14</xdr:row>
      <xdr:rowOff>99000</xdr:rowOff>
    </xdr:from>
    <xdr:to>
      <xdr:col>14</xdr:col>
      <xdr:colOff>411600</xdr:colOff>
      <xdr:row>14</xdr:row>
      <xdr:rowOff>99360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
          <xdr14:nvContentPartPr>
            <xdr14:cNvPr id="28" name="Ink 27">
              <a:extLst>
                <a:ext uri="{FF2B5EF4-FFF2-40B4-BE49-F238E27FC236}">
                  <a16:creationId xmlns:a16="http://schemas.microsoft.com/office/drawing/2014/main" id="{9F9EC3CF-BDCD-4188-9A17-FC74F8C04F11}"/>
                </a:ext>
              </a:extLst>
            </xdr14:cNvPr>
            <xdr14:cNvContentPartPr/>
          </xdr14:nvContentPartPr>
          <xdr14:nvPr macro=""/>
          <xdr14:xfrm>
            <a:off x="8945640" y="2659320"/>
            <a:ext cx="360" cy="360"/>
          </xdr14:xfrm>
        </xdr:contentPart>
      </mc:Choice>
      <mc:Fallback xmlns="">
        <xdr:pic>
          <xdr:nvPicPr>
            <xdr:cNvPr id="28" name="Ink 27">
              <a:extLst>
                <a:ext uri="{FF2B5EF4-FFF2-40B4-BE49-F238E27FC236}">
                  <a16:creationId xmlns:a16="http://schemas.microsoft.com/office/drawing/2014/main" id="{9F9EC3CF-BDCD-4188-9A17-FC74F8C04F11}"/>
                </a:ext>
              </a:extLst>
            </xdr:cNvPr>
            <xdr:cNvPicPr/>
          </xdr:nvPicPr>
          <xdr:blipFill>
            <a:blip xmlns:r="http://schemas.openxmlformats.org/officeDocument/2006/relationships" r:embed="rId40"/>
            <a:stretch>
              <a:fillRect/>
            </a:stretch>
          </xdr:blipFill>
          <xdr:spPr>
            <a:xfrm>
              <a:off x="8937000" y="2650680"/>
              <a:ext cx="18000" cy="18000"/>
            </a:xfrm>
            <a:prstGeom prst="rect">
              <a:avLst/>
            </a:prstGeom>
          </xdr:spPr>
        </xdr:pic>
      </mc:Fallback>
    </mc:AlternateContent>
    <xdr:clientData/>
  </xdr:twoCellAnchor>
  <xdr:twoCellAnchor editAs="oneCell">
    <xdr:from>
      <xdr:col>13</xdr:col>
      <xdr:colOff>121920</xdr:colOff>
      <xdr:row>20</xdr:row>
      <xdr:rowOff>114120</xdr:rowOff>
    </xdr:from>
    <xdr:to>
      <xdr:col>13</xdr:col>
      <xdr:colOff>122280</xdr:colOff>
      <xdr:row>20</xdr:row>
      <xdr:rowOff>114480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
          <xdr14:nvContentPartPr>
            <xdr14:cNvPr id="29" name="Ink 28">
              <a:extLst>
                <a:ext uri="{FF2B5EF4-FFF2-40B4-BE49-F238E27FC236}">
                  <a16:creationId xmlns:a16="http://schemas.microsoft.com/office/drawing/2014/main" id="{6E5C4F1F-441E-4443-AB08-805A598D4975}"/>
                </a:ext>
              </a:extLst>
            </xdr14:cNvPr>
            <xdr14:cNvContentPartPr/>
          </xdr14:nvContentPartPr>
          <xdr14:nvPr macro=""/>
          <xdr14:xfrm>
            <a:off x="8046720" y="3771720"/>
            <a:ext cx="360" cy="360"/>
          </xdr14:xfrm>
        </xdr:contentPart>
      </mc:Choice>
      <mc:Fallback xmlns="">
        <xdr:pic>
          <xdr:nvPicPr>
            <xdr:cNvPr id="29" name="Ink 28">
              <a:extLst>
                <a:ext uri="{FF2B5EF4-FFF2-40B4-BE49-F238E27FC236}">
                  <a16:creationId xmlns:a16="http://schemas.microsoft.com/office/drawing/2014/main" id="{6E5C4F1F-441E-4443-AB08-805A598D4975}"/>
                </a:ext>
              </a:extLst>
            </xdr:cNvPr>
            <xdr:cNvPicPr/>
          </xdr:nvPicPr>
          <xdr:blipFill>
            <a:blip xmlns:r="http://schemas.openxmlformats.org/officeDocument/2006/relationships" r:embed="rId42"/>
            <a:stretch>
              <a:fillRect/>
            </a:stretch>
          </xdr:blipFill>
          <xdr:spPr>
            <a:xfrm>
              <a:off x="8038080" y="3763080"/>
              <a:ext cx="18000" cy="18000"/>
            </a:xfrm>
            <a:prstGeom prst="rect">
              <a:avLst/>
            </a:prstGeom>
          </xdr:spPr>
        </xdr:pic>
      </mc:Fallback>
    </mc:AlternateContent>
    <xdr:clientData/>
  </xdr:twoCellAnchor>
  <xdr:twoCellAnchor editAs="oneCell">
    <xdr:from>
      <xdr:col>16</xdr:col>
      <xdr:colOff>22560</xdr:colOff>
      <xdr:row>23</xdr:row>
      <xdr:rowOff>159840</xdr:rowOff>
    </xdr:from>
    <xdr:to>
      <xdr:col>16</xdr:col>
      <xdr:colOff>22920</xdr:colOff>
      <xdr:row>23</xdr:row>
      <xdr:rowOff>160200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
          <xdr14:nvContentPartPr>
            <xdr14:cNvPr id="30" name="Ink 29">
              <a:extLst>
                <a:ext uri="{FF2B5EF4-FFF2-40B4-BE49-F238E27FC236}">
                  <a16:creationId xmlns:a16="http://schemas.microsoft.com/office/drawing/2014/main" id="{3FB6C6DF-F1B1-4012-850E-423A0BBEB510}"/>
                </a:ext>
              </a:extLst>
            </xdr14:cNvPr>
            <xdr14:cNvContentPartPr/>
          </xdr14:nvContentPartPr>
          <xdr14:nvPr macro=""/>
          <xdr14:xfrm>
            <a:off x="9776160" y="4366080"/>
            <a:ext cx="360" cy="360"/>
          </xdr14:xfrm>
        </xdr:contentPart>
      </mc:Choice>
      <mc:Fallback xmlns="">
        <xdr:pic>
          <xdr:nvPicPr>
            <xdr:cNvPr id="30" name="Ink 29">
              <a:extLst>
                <a:ext uri="{FF2B5EF4-FFF2-40B4-BE49-F238E27FC236}">
                  <a16:creationId xmlns:a16="http://schemas.microsoft.com/office/drawing/2014/main" id="{3FB6C6DF-F1B1-4012-850E-423A0BBEB510}"/>
                </a:ext>
              </a:extLst>
            </xdr:cNvPr>
            <xdr:cNvPicPr/>
          </xdr:nvPicPr>
          <xdr:blipFill>
            <a:blip xmlns:r="http://schemas.openxmlformats.org/officeDocument/2006/relationships" r:embed="rId44"/>
            <a:stretch>
              <a:fillRect/>
            </a:stretch>
          </xdr:blipFill>
          <xdr:spPr>
            <a:xfrm>
              <a:off x="9767520" y="4357440"/>
              <a:ext cx="18000" cy="18000"/>
            </a:xfrm>
            <a:prstGeom prst="rect">
              <a:avLst/>
            </a:prstGeom>
          </xdr:spPr>
        </xdr:pic>
      </mc:Fallback>
    </mc:AlternateContent>
    <xdr:clientData/>
  </xdr:twoCellAnchor>
  <xdr:twoCellAnchor editAs="oneCell">
    <xdr:from>
      <xdr:col>13</xdr:col>
      <xdr:colOff>495240</xdr:colOff>
      <xdr:row>26</xdr:row>
      <xdr:rowOff>68400</xdr:rowOff>
    </xdr:from>
    <xdr:to>
      <xdr:col>13</xdr:col>
      <xdr:colOff>495600</xdr:colOff>
      <xdr:row>26</xdr:row>
      <xdr:rowOff>68760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
          <xdr14:nvContentPartPr>
            <xdr14:cNvPr id="31" name="Ink 30">
              <a:extLst>
                <a:ext uri="{FF2B5EF4-FFF2-40B4-BE49-F238E27FC236}">
                  <a16:creationId xmlns:a16="http://schemas.microsoft.com/office/drawing/2014/main" id="{63B13001-A661-4E07-A9EA-D3256916857D}"/>
                </a:ext>
              </a:extLst>
            </xdr14:cNvPr>
            <xdr14:cNvContentPartPr/>
          </xdr14:nvContentPartPr>
          <xdr14:nvPr macro=""/>
          <xdr14:xfrm>
            <a:off x="8420040" y="4823280"/>
            <a:ext cx="360" cy="360"/>
          </xdr14:xfrm>
        </xdr:contentPart>
      </mc:Choice>
      <mc:Fallback xmlns="">
        <xdr:pic>
          <xdr:nvPicPr>
            <xdr:cNvPr id="31" name="Ink 30">
              <a:extLst>
                <a:ext uri="{FF2B5EF4-FFF2-40B4-BE49-F238E27FC236}">
                  <a16:creationId xmlns:a16="http://schemas.microsoft.com/office/drawing/2014/main" id="{63B13001-A661-4E07-A9EA-D3256916857D}"/>
                </a:ext>
              </a:extLst>
            </xdr:cNvPr>
            <xdr:cNvPicPr/>
          </xdr:nvPicPr>
          <xdr:blipFill>
            <a:blip xmlns:r="http://schemas.openxmlformats.org/officeDocument/2006/relationships" r:embed="rId46"/>
            <a:stretch>
              <a:fillRect/>
            </a:stretch>
          </xdr:blipFill>
          <xdr:spPr>
            <a:xfrm>
              <a:off x="8411400" y="4814640"/>
              <a:ext cx="18000" cy="18000"/>
            </a:xfrm>
            <a:prstGeom prst="rect">
              <a:avLst/>
            </a:prstGeom>
          </xdr:spPr>
        </xdr:pic>
      </mc:Fallback>
    </mc:AlternateContent>
    <xdr:clientData/>
  </xdr:twoCellAnchor>
  <xdr:twoCellAnchor editAs="oneCell">
    <xdr:from>
      <xdr:col>11</xdr:col>
      <xdr:colOff>266520</xdr:colOff>
      <xdr:row>24</xdr:row>
      <xdr:rowOff>68400</xdr:rowOff>
    </xdr:from>
    <xdr:to>
      <xdr:col>11</xdr:col>
      <xdr:colOff>266880</xdr:colOff>
      <xdr:row>24</xdr:row>
      <xdr:rowOff>68760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
          <xdr14:nvContentPartPr>
            <xdr14:cNvPr id="32" name="Ink 31">
              <a:extLst>
                <a:ext uri="{FF2B5EF4-FFF2-40B4-BE49-F238E27FC236}">
                  <a16:creationId xmlns:a16="http://schemas.microsoft.com/office/drawing/2014/main" id="{F821EA75-C4F6-4D67-A8B5-C89A15B9632B}"/>
                </a:ext>
              </a:extLst>
            </xdr14:cNvPr>
            <xdr14:cNvContentPartPr/>
          </xdr14:nvContentPartPr>
          <xdr14:nvPr macro=""/>
          <xdr14:xfrm>
            <a:off x="6972120" y="4457520"/>
            <a:ext cx="360" cy="360"/>
          </xdr14:xfrm>
        </xdr:contentPart>
      </mc:Choice>
      <mc:Fallback xmlns="">
        <xdr:pic>
          <xdr:nvPicPr>
            <xdr:cNvPr id="32" name="Ink 31">
              <a:extLst>
                <a:ext uri="{FF2B5EF4-FFF2-40B4-BE49-F238E27FC236}">
                  <a16:creationId xmlns:a16="http://schemas.microsoft.com/office/drawing/2014/main" id="{F821EA75-C4F6-4D67-A8B5-C89A15B9632B}"/>
                </a:ext>
              </a:extLst>
            </xdr:cNvPr>
            <xdr:cNvPicPr/>
          </xdr:nvPicPr>
          <xdr:blipFill>
            <a:blip xmlns:r="http://schemas.openxmlformats.org/officeDocument/2006/relationships" r:embed="rId48"/>
            <a:stretch>
              <a:fillRect/>
            </a:stretch>
          </xdr:blipFill>
          <xdr:spPr>
            <a:xfrm>
              <a:off x="6963480" y="4448880"/>
              <a:ext cx="18000" cy="18000"/>
            </a:xfrm>
            <a:prstGeom prst="rect">
              <a:avLst/>
            </a:prstGeom>
          </xdr:spPr>
        </xdr:pic>
      </mc:Fallback>
    </mc:AlternateContent>
    <xdr:clientData/>
  </xdr:twoCellAnchor>
  <xdr:twoCellAnchor editAs="oneCell">
    <xdr:from>
      <xdr:col>10</xdr:col>
      <xdr:colOff>159720</xdr:colOff>
      <xdr:row>26</xdr:row>
      <xdr:rowOff>30240</xdr:rowOff>
    </xdr:from>
    <xdr:to>
      <xdr:col>10</xdr:col>
      <xdr:colOff>160080</xdr:colOff>
      <xdr:row>26</xdr:row>
      <xdr:rowOff>30600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
          <xdr14:nvContentPartPr>
            <xdr14:cNvPr id="33" name="Ink 32">
              <a:extLst>
                <a:ext uri="{FF2B5EF4-FFF2-40B4-BE49-F238E27FC236}">
                  <a16:creationId xmlns:a16="http://schemas.microsoft.com/office/drawing/2014/main" id="{670EAA39-CB3F-43C2-A85A-99ECA3C1E2ED}"/>
                </a:ext>
              </a:extLst>
            </xdr14:cNvPr>
            <xdr14:cNvContentPartPr/>
          </xdr14:nvContentPartPr>
          <xdr14:nvPr macro=""/>
          <xdr14:xfrm>
            <a:off x="6255720" y="4785120"/>
            <a:ext cx="360" cy="360"/>
          </xdr14:xfrm>
        </xdr:contentPart>
      </mc:Choice>
      <mc:Fallback xmlns="">
        <xdr:pic>
          <xdr:nvPicPr>
            <xdr:cNvPr id="33" name="Ink 32">
              <a:extLst>
                <a:ext uri="{FF2B5EF4-FFF2-40B4-BE49-F238E27FC236}">
                  <a16:creationId xmlns:a16="http://schemas.microsoft.com/office/drawing/2014/main" id="{670EAA39-CB3F-43C2-A85A-99ECA3C1E2ED}"/>
                </a:ext>
              </a:extLst>
            </xdr:cNvPr>
            <xdr:cNvPicPr/>
          </xdr:nvPicPr>
          <xdr:blipFill>
            <a:blip xmlns:r="http://schemas.openxmlformats.org/officeDocument/2006/relationships" r:embed="rId50"/>
            <a:stretch>
              <a:fillRect/>
            </a:stretch>
          </xdr:blipFill>
          <xdr:spPr>
            <a:xfrm>
              <a:off x="6247080" y="4776480"/>
              <a:ext cx="18000" cy="18000"/>
            </a:xfrm>
            <a:prstGeom prst="rect">
              <a:avLst/>
            </a:prstGeom>
          </xdr:spPr>
        </xdr:pic>
      </mc:Fallback>
    </mc:AlternateContent>
    <xdr:clientData/>
  </xdr:twoCellAnchor>
  <xdr:twoCellAnchor editAs="oneCell">
    <xdr:from>
      <xdr:col>9</xdr:col>
      <xdr:colOff>396000</xdr:colOff>
      <xdr:row>23</xdr:row>
      <xdr:rowOff>53280</xdr:rowOff>
    </xdr:from>
    <xdr:to>
      <xdr:col>9</xdr:col>
      <xdr:colOff>396360</xdr:colOff>
      <xdr:row>23</xdr:row>
      <xdr:rowOff>53640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
          <xdr14:nvContentPartPr>
            <xdr14:cNvPr id="34" name="Ink 33">
              <a:extLst>
                <a:ext uri="{FF2B5EF4-FFF2-40B4-BE49-F238E27FC236}">
                  <a16:creationId xmlns:a16="http://schemas.microsoft.com/office/drawing/2014/main" id="{8009CA55-29A1-4423-88E3-970DDCBC828C}"/>
                </a:ext>
              </a:extLst>
            </xdr14:cNvPr>
            <xdr14:cNvContentPartPr/>
          </xdr14:nvContentPartPr>
          <xdr14:nvPr macro=""/>
          <xdr14:xfrm>
            <a:off x="5882400" y="4259520"/>
            <a:ext cx="360" cy="360"/>
          </xdr14:xfrm>
        </xdr:contentPart>
      </mc:Choice>
      <mc:Fallback xmlns="">
        <xdr:pic>
          <xdr:nvPicPr>
            <xdr:cNvPr id="34" name="Ink 33">
              <a:extLst>
                <a:ext uri="{FF2B5EF4-FFF2-40B4-BE49-F238E27FC236}">
                  <a16:creationId xmlns:a16="http://schemas.microsoft.com/office/drawing/2014/main" id="{8009CA55-29A1-4423-88E3-970DDCBC828C}"/>
                </a:ext>
              </a:extLst>
            </xdr:cNvPr>
            <xdr:cNvPicPr/>
          </xdr:nvPicPr>
          <xdr:blipFill>
            <a:blip xmlns:r="http://schemas.openxmlformats.org/officeDocument/2006/relationships" r:embed="rId52"/>
            <a:stretch>
              <a:fillRect/>
            </a:stretch>
          </xdr:blipFill>
          <xdr:spPr>
            <a:xfrm>
              <a:off x="5873760" y="4250880"/>
              <a:ext cx="18000" cy="18000"/>
            </a:xfrm>
            <a:prstGeom prst="rect">
              <a:avLst/>
            </a:prstGeom>
          </xdr:spPr>
        </xdr:pic>
      </mc:Fallback>
    </mc:AlternateContent>
    <xdr:clientData/>
  </xdr:twoCellAnchor>
  <xdr:twoCellAnchor editAs="oneCell">
    <xdr:from>
      <xdr:col>16</xdr:col>
      <xdr:colOff>563640</xdr:colOff>
      <xdr:row>3</xdr:row>
      <xdr:rowOff>144720</xdr:rowOff>
    </xdr:from>
    <xdr:to>
      <xdr:col>16</xdr:col>
      <xdr:colOff>564000</xdr:colOff>
      <xdr:row>3</xdr:row>
      <xdr:rowOff>145080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
          <xdr14:nvContentPartPr>
            <xdr14:cNvPr id="35" name="Ink 34">
              <a:extLst>
                <a:ext uri="{FF2B5EF4-FFF2-40B4-BE49-F238E27FC236}">
                  <a16:creationId xmlns:a16="http://schemas.microsoft.com/office/drawing/2014/main" id="{1A64D7F5-9FC9-4495-A079-945D6AF1D093}"/>
                </a:ext>
              </a:extLst>
            </xdr14:cNvPr>
            <xdr14:cNvContentPartPr/>
          </xdr14:nvContentPartPr>
          <xdr14:nvPr macro=""/>
          <xdr14:xfrm>
            <a:off x="10317240" y="693360"/>
            <a:ext cx="360" cy="360"/>
          </xdr14:xfrm>
        </xdr:contentPart>
      </mc:Choice>
      <mc:Fallback xmlns="">
        <xdr:pic>
          <xdr:nvPicPr>
            <xdr:cNvPr id="35" name="Ink 34">
              <a:extLst>
                <a:ext uri="{FF2B5EF4-FFF2-40B4-BE49-F238E27FC236}">
                  <a16:creationId xmlns:a16="http://schemas.microsoft.com/office/drawing/2014/main" id="{1A64D7F5-9FC9-4495-A079-945D6AF1D093}"/>
                </a:ext>
              </a:extLst>
            </xdr:cNvPr>
            <xdr:cNvPicPr/>
          </xdr:nvPicPr>
          <xdr:blipFill>
            <a:blip xmlns:r="http://schemas.openxmlformats.org/officeDocument/2006/relationships" r:embed="rId54"/>
            <a:stretch>
              <a:fillRect/>
            </a:stretch>
          </xdr:blipFill>
          <xdr:spPr>
            <a:xfrm>
              <a:off x="10308600" y="684720"/>
              <a:ext cx="18000" cy="18000"/>
            </a:xfrm>
            <a:prstGeom prst="rect">
              <a:avLst/>
            </a:prstGeom>
          </xdr:spPr>
        </xdr:pic>
      </mc:Fallback>
    </mc:AlternateContent>
    <xdr:clientData/>
  </xdr:twoCellAnchor>
  <xdr:twoCellAnchor editAs="oneCell">
    <xdr:from>
      <xdr:col>21</xdr:col>
      <xdr:colOff>205560</xdr:colOff>
      <xdr:row>0</xdr:row>
      <xdr:rowOff>53280</xdr:rowOff>
    </xdr:from>
    <xdr:to>
      <xdr:col>21</xdr:col>
      <xdr:colOff>205920</xdr:colOff>
      <xdr:row>0</xdr:row>
      <xdr:rowOff>53640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
          <xdr14:nvContentPartPr>
            <xdr14:cNvPr id="36" name="Ink 35">
              <a:extLst>
                <a:ext uri="{FF2B5EF4-FFF2-40B4-BE49-F238E27FC236}">
                  <a16:creationId xmlns:a16="http://schemas.microsoft.com/office/drawing/2014/main" id="{0D806B5E-9A2E-424B-BB09-58EE3E2EE4F0}"/>
                </a:ext>
              </a:extLst>
            </xdr14:cNvPr>
            <xdr14:cNvContentPartPr/>
          </xdr14:nvContentPartPr>
          <xdr14:nvPr macro=""/>
          <xdr14:xfrm>
            <a:off x="13007160" y="53280"/>
            <a:ext cx="360" cy="360"/>
          </xdr14:xfrm>
        </xdr:contentPart>
      </mc:Choice>
      <mc:Fallback xmlns="">
        <xdr:pic>
          <xdr:nvPicPr>
            <xdr:cNvPr id="36" name="Ink 35">
              <a:extLst>
                <a:ext uri="{FF2B5EF4-FFF2-40B4-BE49-F238E27FC236}">
                  <a16:creationId xmlns:a16="http://schemas.microsoft.com/office/drawing/2014/main" id="{0D806B5E-9A2E-424B-BB09-58EE3E2EE4F0}"/>
                </a:ext>
              </a:extLst>
            </xdr:cNvPr>
            <xdr:cNvPicPr/>
          </xdr:nvPicPr>
          <xdr:blipFill>
            <a:blip xmlns:r="http://schemas.openxmlformats.org/officeDocument/2006/relationships" r:embed="rId56"/>
            <a:stretch>
              <a:fillRect/>
            </a:stretch>
          </xdr:blipFill>
          <xdr:spPr>
            <a:xfrm>
              <a:off x="12998520" y="44280"/>
              <a:ext cx="18000" cy="18000"/>
            </a:xfrm>
            <a:prstGeom prst="rect">
              <a:avLst/>
            </a:prstGeom>
          </xdr:spPr>
        </xdr:pic>
      </mc:Fallback>
    </mc:AlternateContent>
    <xdr:clientData/>
  </xdr:twoCellAnchor>
  <xdr:twoCellAnchor editAs="oneCell">
    <xdr:from>
      <xdr:col>21</xdr:col>
      <xdr:colOff>510480</xdr:colOff>
      <xdr:row>7</xdr:row>
      <xdr:rowOff>144720</xdr:rowOff>
    </xdr:from>
    <xdr:to>
      <xdr:col>21</xdr:col>
      <xdr:colOff>510840</xdr:colOff>
      <xdr:row>7</xdr:row>
      <xdr:rowOff>145080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
          <xdr14:nvContentPartPr>
            <xdr14:cNvPr id="37" name="Ink 36">
              <a:extLst>
                <a:ext uri="{FF2B5EF4-FFF2-40B4-BE49-F238E27FC236}">
                  <a16:creationId xmlns:a16="http://schemas.microsoft.com/office/drawing/2014/main" id="{695A048C-A1ED-4B18-9C2F-C23E932DBC41}"/>
                </a:ext>
              </a:extLst>
            </xdr14:cNvPr>
            <xdr14:cNvContentPartPr/>
          </xdr14:nvContentPartPr>
          <xdr14:nvPr macro=""/>
          <xdr14:xfrm>
            <a:off x="13312080" y="1424880"/>
            <a:ext cx="360" cy="360"/>
          </xdr14:xfrm>
        </xdr:contentPart>
      </mc:Choice>
      <mc:Fallback xmlns="">
        <xdr:pic>
          <xdr:nvPicPr>
            <xdr:cNvPr id="37" name="Ink 36">
              <a:extLst>
                <a:ext uri="{FF2B5EF4-FFF2-40B4-BE49-F238E27FC236}">
                  <a16:creationId xmlns:a16="http://schemas.microsoft.com/office/drawing/2014/main" id="{695A048C-A1ED-4B18-9C2F-C23E932DBC41}"/>
                </a:ext>
              </a:extLst>
            </xdr:cNvPr>
            <xdr:cNvPicPr/>
          </xdr:nvPicPr>
          <xdr:blipFill>
            <a:blip xmlns:r="http://schemas.openxmlformats.org/officeDocument/2006/relationships" r:embed="rId58"/>
            <a:stretch>
              <a:fillRect/>
            </a:stretch>
          </xdr:blipFill>
          <xdr:spPr>
            <a:xfrm>
              <a:off x="13303440" y="1416240"/>
              <a:ext cx="18000" cy="18000"/>
            </a:xfrm>
            <a:prstGeom prst="rect">
              <a:avLst/>
            </a:prstGeom>
          </xdr:spPr>
        </xdr:pic>
      </mc:Fallback>
    </mc:AlternateContent>
    <xdr:clientData/>
  </xdr:twoCellAnchor>
  <xdr:twoCellAnchor editAs="oneCell">
    <xdr:from>
      <xdr:col>22</xdr:col>
      <xdr:colOff>30480</xdr:colOff>
      <xdr:row>16</xdr:row>
      <xdr:rowOff>121680</xdr:rowOff>
    </xdr:from>
    <xdr:to>
      <xdr:col>22</xdr:col>
      <xdr:colOff>30840</xdr:colOff>
      <xdr:row>16</xdr:row>
      <xdr:rowOff>122040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
          <xdr14:nvContentPartPr>
            <xdr14:cNvPr id="38" name="Ink 37">
              <a:extLst>
                <a:ext uri="{FF2B5EF4-FFF2-40B4-BE49-F238E27FC236}">
                  <a16:creationId xmlns:a16="http://schemas.microsoft.com/office/drawing/2014/main" id="{90703B71-FDF2-4FDF-ABEE-75E41D37E04B}"/>
                </a:ext>
              </a:extLst>
            </xdr14:cNvPr>
            <xdr14:cNvContentPartPr/>
          </xdr14:nvContentPartPr>
          <xdr14:nvPr macro=""/>
          <xdr14:xfrm>
            <a:off x="13441680" y="3047760"/>
            <a:ext cx="360" cy="360"/>
          </xdr14:xfrm>
        </xdr:contentPart>
      </mc:Choice>
      <mc:Fallback xmlns="">
        <xdr:pic>
          <xdr:nvPicPr>
            <xdr:cNvPr id="38" name="Ink 37">
              <a:extLst>
                <a:ext uri="{FF2B5EF4-FFF2-40B4-BE49-F238E27FC236}">
                  <a16:creationId xmlns:a16="http://schemas.microsoft.com/office/drawing/2014/main" id="{90703B71-FDF2-4FDF-ABEE-75E41D37E04B}"/>
                </a:ext>
              </a:extLst>
            </xdr:cNvPr>
            <xdr:cNvPicPr/>
          </xdr:nvPicPr>
          <xdr:blipFill>
            <a:blip xmlns:r="http://schemas.openxmlformats.org/officeDocument/2006/relationships" r:embed="rId60"/>
            <a:stretch>
              <a:fillRect/>
            </a:stretch>
          </xdr:blipFill>
          <xdr:spPr>
            <a:xfrm>
              <a:off x="13433040" y="3039120"/>
              <a:ext cx="18000" cy="18000"/>
            </a:xfrm>
            <a:prstGeom prst="rect">
              <a:avLst/>
            </a:prstGeom>
          </xdr:spPr>
        </xdr:pic>
      </mc:Fallback>
    </mc:AlternateContent>
    <xdr:clientData/>
  </xdr:twoCellAnchor>
  <xdr:twoCellAnchor editAs="oneCell">
    <xdr:from>
      <xdr:col>19</xdr:col>
      <xdr:colOff>579120</xdr:colOff>
      <xdr:row>20</xdr:row>
      <xdr:rowOff>53280</xdr:rowOff>
    </xdr:from>
    <xdr:to>
      <xdr:col>19</xdr:col>
      <xdr:colOff>579480</xdr:colOff>
      <xdr:row>20</xdr:row>
      <xdr:rowOff>53640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
          <xdr14:nvContentPartPr>
            <xdr14:cNvPr id="39" name="Ink 38">
              <a:extLst>
                <a:ext uri="{FF2B5EF4-FFF2-40B4-BE49-F238E27FC236}">
                  <a16:creationId xmlns:a16="http://schemas.microsoft.com/office/drawing/2014/main" id="{D65F24AB-20A9-4ECA-9918-3C821A53D56C}"/>
                </a:ext>
              </a:extLst>
            </xdr14:cNvPr>
            <xdr14:cNvContentPartPr/>
          </xdr14:nvContentPartPr>
          <xdr14:nvPr macro=""/>
          <xdr14:xfrm>
            <a:off x="12161520" y="3710880"/>
            <a:ext cx="360" cy="360"/>
          </xdr14:xfrm>
        </xdr:contentPart>
      </mc:Choice>
      <mc:Fallback xmlns="">
        <xdr:pic>
          <xdr:nvPicPr>
            <xdr:cNvPr id="39" name="Ink 38">
              <a:extLst>
                <a:ext uri="{FF2B5EF4-FFF2-40B4-BE49-F238E27FC236}">
                  <a16:creationId xmlns:a16="http://schemas.microsoft.com/office/drawing/2014/main" id="{D65F24AB-20A9-4ECA-9918-3C821A53D56C}"/>
                </a:ext>
              </a:extLst>
            </xdr:cNvPr>
            <xdr:cNvPicPr/>
          </xdr:nvPicPr>
          <xdr:blipFill>
            <a:blip xmlns:r="http://schemas.openxmlformats.org/officeDocument/2006/relationships" r:embed="rId62"/>
            <a:stretch>
              <a:fillRect/>
            </a:stretch>
          </xdr:blipFill>
          <xdr:spPr>
            <a:xfrm>
              <a:off x="12152880" y="3702240"/>
              <a:ext cx="18000" cy="18000"/>
            </a:xfrm>
            <a:prstGeom prst="rect">
              <a:avLst/>
            </a:prstGeom>
          </xdr:spPr>
        </xdr:pic>
      </mc:Fallback>
    </mc:AlternateContent>
    <xdr:clientData/>
  </xdr:twoCellAnchor>
  <xdr:twoCellAnchor editAs="oneCell">
    <xdr:from>
      <xdr:col>22</xdr:col>
      <xdr:colOff>319920</xdr:colOff>
      <xdr:row>25</xdr:row>
      <xdr:rowOff>121680</xdr:rowOff>
    </xdr:from>
    <xdr:to>
      <xdr:col>22</xdr:col>
      <xdr:colOff>320280</xdr:colOff>
      <xdr:row>25</xdr:row>
      <xdr:rowOff>122040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
          <xdr14:nvContentPartPr>
            <xdr14:cNvPr id="40" name="Ink 39">
              <a:extLst>
                <a:ext uri="{FF2B5EF4-FFF2-40B4-BE49-F238E27FC236}">
                  <a16:creationId xmlns:a16="http://schemas.microsoft.com/office/drawing/2014/main" id="{0A7C5CD3-BFD7-48BA-80E1-CF79FAF9976C}"/>
                </a:ext>
              </a:extLst>
            </xdr14:cNvPr>
            <xdr14:cNvContentPartPr/>
          </xdr14:nvContentPartPr>
          <xdr14:nvPr macro=""/>
          <xdr14:xfrm>
            <a:off x="13731120" y="4693680"/>
            <a:ext cx="360" cy="360"/>
          </xdr14:xfrm>
        </xdr:contentPart>
      </mc:Choice>
      <mc:Fallback xmlns="">
        <xdr:pic>
          <xdr:nvPicPr>
            <xdr:cNvPr id="40" name="Ink 39">
              <a:extLst>
                <a:ext uri="{FF2B5EF4-FFF2-40B4-BE49-F238E27FC236}">
                  <a16:creationId xmlns:a16="http://schemas.microsoft.com/office/drawing/2014/main" id="{0A7C5CD3-BFD7-48BA-80E1-CF79FAF9976C}"/>
                </a:ext>
              </a:extLst>
            </xdr:cNvPr>
            <xdr:cNvPicPr/>
          </xdr:nvPicPr>
          <xdr:blipFill>
            <a:blip xmlns:r="http://schemas.openxmlformats.org/officeDocument/2006/relationships" r:embed="rId64"/>
            <a:stretch>
              <a:fillRect/>
            </a:stretch>
          </xdr:blipFill>
          <xdr:spPr>
            <a:xfrm>
              <a:off x="13722480" y="4685040"/>
              <a:ext cx="18000" cy="18000"/>
            </a:xfrm>
            <a:prstGeom prst="rect">
              <a:avLst/>
            </a:prstGeom>
          </xdr:spPr>
        </xdr:pic>
      </mc:Fallback>
    </mc:AlternateContent>
    <xdr:clientData/>
  </xdr:twoCellAnchor>
  <xdr:twoCellAnchor editAs="oneCell">
    <xdr:from>
      <xdr:col>18</xdr:col>
      <xdr:colOff>40320</xdr:colOff>
      <xdr:row>7</xdr:row>
      <xdr:rowOff>129240</xdr:rowOff>
    </xdr:from>
    <xdr:to>
      <xdr:col>18</xdr:col>
      <xdr:colOff>274680</xdr:colOff>
      <xdr:row>8</xdr:row>
      <xdr:rowOff>55080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
          <xdr14:nvContentPartPr>
            <xdr14:cNvPr id="47" name="Ink 46">
              <a:extLst>
                <a:ext uri="{FF2B5EF4-FFF2-40B4-BE49-F238E27FC236}">
                  <a16:creationId xmlns:a16="http://schemas.microsoft.com/office/drawing/2014/main" id="{52C474CF-1B23-4F57-9C85-097ED9CDBCED}"/>
                </a:ext>
              </a:extLst>
            </xdr14:cNvPr>
            <xdr14:cNvContentPartPr/>
          </xdr14:nvContentPartPr>
          <xdr14:nvPr macro=""/>
          <xdr14:xfrm>
            <a:off x="11013120" y="1409400"/>
            <a:ext cx="234360" cy="108720"/>
          </xdr14:xfrm>
        </xdr:contentPart>
      </mc:Choice>
      <mc:Fallback xmlns="">
        <xdr:pic>
          <xdr:nvPicPr>
            <xdr:cNvPr id="47" name="Ink 46">
              <a:extLst>
                <a:ext uri="{FF2B5EF4-FFF2-40B4-BE49-F238E27FC236}">
                  <a16:creationId xmlns:a16="http://schemas.microsoft.com/office/drawing/2014/main" id="{52C474CF-1B23-4F57-9C85-097ED9CDBCED}"/>
                </a:ext>
              </a:extLst>
            </xdr:cNvPr>
            <xdr:cNvPicPr/>
          </xdr:nvPicPr>
          <xdr:blipFill>
            <a:blip xmlns:r="http://schemas.openxmlformats.org/officeDocument/2006/relationships" r:embed="rId66"/>
            <a:stretch>
              <a:fillRect/>
            </a:stretch>
          </xdr:blipFill>
          <xdr:spPr>
            <a:xfrm>
              <a:off x="11004120" y="1400760"/>
              <a:ext cx="252000" cy="126360"/>
            </a:xfrm>
            <a:prstGeom prst="rect">
              <a:avLst/>
            </a:prstGeom>
          </xdr:spPr>
        </xdr:pic>
      </mc:Fallback>
    </mc:AlternateContent>
    <xdr:clientData/>
  </xdr:twoCellAnchor>
  <xdr:twoCellAnchor editAs="oneCell">
    <xdr:from>
      <xdr:col>4</xdr:col>
      <xdr:colOff>380760</xdr:colOff>
      <xdr:row>25</xdr:row>
      <xdr:rowOff>121680</xdr:rowOff>
    </xdr:from>
    <xdr:to>
      <xdr:col>4</xdr:col>
      <xdr:colOff>381120</xdr:colOff>
      <xdr:row>25</xdr:row>
      <xdr:rowOff>122040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
          <xdr14:nvContentPartPr>
            <xdr14:cNvPr id="69" name="Ink 68">
              <a:extLst>
                <a:ext uri="{FF2B5EF4-FFF2-40B4-BE49-F238E27FC236}">
                  <a16:creationId xmlns:a16="http://schemas.microsoft.com/office/drawing/2014/main" id="{F8551CBC-A23D-40A7-8E4B-B2AAB5D3B30B}"/>
                </a:ext>
              </a:extLst>
            </xdr14:cNvPr>
            <xdr14:cNvContentPartPr/>
          </xdr14:nvContentPartPr>
          <xdr14:nvPr macro=""/>
          <xdr14:xfrm>
            <a:off x="2819160" y="4693680"/>
            <a:ext cx="360" cy="360"/>
          </xdr14:xfrm>
        </xdr:contentPart>
      </mc:Choice>
      <mc:Fallback xmlns="">
        <xdr:pic>
          <xdr:nvPicPr>
            <xdr:cNvPr id="69" name="Ink 68">
              <a:extLst>
                <a:ext uri="{FF2B5EF4-FFF2-40B4-BE49-F238E27FC236}">
                  <a16:creationId xmlns:a16="http://schemas.microsoft.com/office/drawing/2014/main" id="{F8551CBC-A23D-40A7-8E4B-B2AAB5D3B30B}"/>
                </a:ext>
              </a:extLst>
            </xdr:cNvPr>
            <xdr:cNvPicPr/>
          </xdr:nvPicPr>
          <xdr:blipFill>
            <a:blip xmlns:r="http://schemas.openxmlformats.org/officeDocument/2006/relationships" r:embed="rId68"/>
            <a:stretch>
              <a:fillRect/>
            </a:stretch>
          </xdr:blipFill>
          <xdr:spPr>
            <a:xfrm>
              <a:off x="2810520" y="4685040"/>
              <a:ext cx="18000" cy="18000"/>
            </a:xfrm>
            <a:prstGeom prst="rect">
              <a:avLst/>
            </a:prstGeom>
          </xdr:spPr>
        </xdr:pic>
      </mc:Fallback>
    </mc:AlternateContent>
    <xdr:clientData/>
  </xdr:twoCellAnchor>
  <xdr:twoCellAnchor editAs="oneCell">
    <xdr:from>
      <xdr:col>4</xdr:col>
      <xdr:colOff>479760</xdr:colOff>
      <xdr:row>2</xdr:row>
      <xdr:rowOff>7560</xdr:rowOff>
    </xdr:from>
    <xdr:to>
      <xdr:col>4</xdr:col>
      <xdr:colOff>480120</xdr:colOff>
      <xdr:row>2</xdr:row>
      <xdr:rowOff>7920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
          <xdr14:nvContentPartPr>
            <xdr14:cNvPr id="70" name="Ink 69">
              <a:extLst>
                <a:ext uri="{FF2B5EF4-FFF2-40B4-BE49-F238E27FC236}">
                  <a16:creationId xmlns:a16="http://schemas.microsoft.com/office/drawing/2014/main" id="{D64834C4-553B-41F7-8876-CA73D2238E30}"/>
                </a:ext>
              </a:extLst>
            </xdr14:cNvPr>
            <xdr14:cNvContentPartPr/>
          </xdr14:nvContentPartPr>
          <xdr14:nvPr macro=""/>
          <xdr14:xfrm>
            <a:off x="2918160" y="373320"/>
            <a:ext cx="360" cy="360"/>
          </xdr14:xfrm>
        </xdr:contentPart>
      </mc:Choice>
      <mc:Fallback xmlns="">
        <xdr:pic>
          <xdr:nvPicPr>
            <xdr:cNvPr id="70" name="Ink 69">
              <a:extLst>
                <a:ext uri="{FF2B5EF4-FFF2-40B4-BE49-F238E27FC236}">
                  <a16:creationId xmlns:a16="http://schemas.microsoft.com/office/drawing/2014/main" id="{D64834C4-553B-41F7-8876-CA73D2238E30}"/>
                </a:ext>
              </a:extLst>
            </xdr:cNvPr>
            <xdr:cNvPicPr/>
          </xdr:nvPicPr>
          <xdr:blipFill>
            <a:blip xmlns:r="http://schemas.openxmlformats.org/officeDocument/2006/relationships" r:embed="rId70"/>
            <a:stretch>
              <a:fillRect/>
            </a:stretch>
          </xdr:blipFill>
          <xdr:spPr>
            <a:xfrm>
              <a:off x="2909520" y="364680"/>
              <a:ext cx="18000" cy="18000"/>
            </a:xfrm>
            <a:prstGeom prst="rect">
              <a:avLst/>
            </a:prstGeom>
          </xdr:spPr>
        </xdr:pic>
      </mc:Fallback>
    </mc:AlternateContent>
    <xdr:clientData/>
  </xdr:twoCellAnchor>
  <xdr:twoCellAnchor editAs="oneCell">
    <xdr:from>
      <xdr:col>18</xdr:col>
      <xdr:colOff>540720</xdr:colOff>
      <xdr:row>28</xdr:row>
      <xdr:rowOff>22680</xdr:rowOff>
    </xdr:from>
    <xdr:to>
      <xdr:col>18</xdr:col>
      <xdr:colOff>541080</xdr:colOff>
      <xdr:row>28</xdr:row>
      <xdr:rowOff>23040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
          <xdr14:nvContentPartPr>
            <xdr14:cNvPr id="72" name="Ink 71">
              <a:extLst>
                <a:ext uri="{FF2B5EF4-FFF2-40B4-BE49-F238E27FC236}">
                  <a16:creationId xmlns:a16="http://schemas.microsoft.com/office/drawing/2014/main" id="{6D72219D-0476-42C8-8F7D-CABB2C9E5B49}"/>
                </a:ext>
              </a:extLst>
            </xdr14:cNvPr>
            <xdr14:cNvContentPartPr/>
          </xdr14:nvContentPartPr>
          <xdr14:nvPr macro=""/>
          <xdr14:xfrm>
            <a:off x="11513520" y="5143320"/>
            <a:ext cx="360" cy="360"/>
          </xdr14:xfrm>
        </xdr:contentPart>
      </mc:Choice>
      <mc:Fallback xmlns="">
        <xdr:pic>
          <xdr:nvPicPr>
            <xdr:cNvPr id="72" name="Ink 71">
              <a:extLst>
                <a:ext uri="{FF2B5EF4-FFF2-40B4-BE49-F238E27FC236}">
                  <a16:creationId xmlns:a16="http://schemas.microsoft.com/office/drawing/2014/main" id="{6D72219D-0476-42C8-8F7D-CABB2C9E5B49}"/>
                </a:ext>
              </a:extLst>
            </xdr:cNvPr>
            <xdr:cNvPicPr/>
          </xdr:nvPicPr>
          <xdr:blipFill>
            <a:blip xmlns:r="http://schemas.openxmlformats.org/officeDocument/2006/relationships" r:embed="rId72"/>
            <a:stretch>
              <a:fillRect/>
            </a:stretch>
          </xdr:blipFill>
          <xdr:spPr>
            <a:xfrm>
              <a:off x="11504880" y="5134680"/>
              <a:ext cx="18000" cy="18000"/>
            </a:xfrm>
            <a:prstGeom prst="rect">
              <a:avLst/>
            </a:prstGeom>
          </xdr:spPr>
        </xdr:pic>
      </mc:Fallback>
    </mc:AlternateContent>
    <xdr:clientData/>
  </xdr:twoCellAnchor>
  <xdr:twoCellAnchor editAs="oneCell">
    <xdr:from>
      <xdr:col>9</xdr:col>
      <xdr:colOff>83520</xdr:colOff>
      <xdr:row>12</xdr:row>
      <xdr:rowOff>121680</xdr:rowOff>
    </xdr:from>
    <xdr:to>
      <xdr:col>9</xdr:col>
      <xdr:colOff>83880</xdr:colOff>
      <xdr:row>12</xdr:row>
      <xdr:rowOff>122040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
          <xdr14:nvContentPartPr>
            <xdr14:cNvPr id="73" name="Ink 72">
              <a:extLst>
                <a:ext uri="{FF2B5EF4-FFF2-40B4-BE49-F238E27FC236}">
                  <a16:creationId xmlns:a16="http://schemas.microsoft.com/office/drawing/2014/main" id="{6EEA7DD4-9956-4F39-BB0A-C610B0456B42}"/>
                </a:ext>
              </a:extLst>
            </xdr14:cNvPr>
            <xdr14:cNvContentPartPr/>
          </xdr14:nvContentPartPr>
          <xdr14:nvPr macro=""/>
          <xdr14:xfrm>
            <a:off x="5569920" y="2316240"/>
            <a:ext cx="360" cy="360"/>
          </xdr14:xfrm>
        </xdr:contentPart>
      </mc:Choice>
      <mc:Fallback xmlns="">
        <xdr:pic>
          <xdr:nvPicPr>
            <xdr:cNvPr id="73" name="Ink 72">
              <a:extLst>
                <a:ext uri="{FF2B5EF4-FFF2-40B4-BE49-F238E27FC236}">
                  <a16:creationId xmlns:a16="http://schemas.microsoft.com/office/drawing/2014/main" id="{6EEA7DD4-9956-4F39-BB0A-C610B0456B42}"/>
                </a:ext>
              </a:extLst>
            </xdr:cNvPr>
            <xdr:cNvPicPr/>
          </xdr:nvPicPr>
          <xdr:blipFill>
            <a:blip xmlns:r="http://schemas.openxmlformats.org/officeDocument/2006/relationships" r:embed="rId74"/>
            <a:stretch>
              <a:fillRect/>
            </a:stretch>
          </xdr:blipFill>
          <xdr:spPr>
            <a:xfrm>
              <a:off x="5561280" y="2307600"/>
              <a:ext cx="18000" cy="18000"/>
            </a:xfrm>
            <a:prstGeom prst="rect">
              <a:avLst/>
            </a:prstGeom>
          </xdr:spPr>
        </xdr:pic>
      </mc:Fallback>
    </mc:AlternateContent>
    <xdr:clientData/>
  </xdr:twoCellAnchor>
  <xdr:twoCellAnchor editAs="oneCell">
    <xdr:from>
      <xdr:col>11</xdr:col>
      <xdr:colOff>22800</xdr:colOff>
      <xdr:row>10</xdr:row>
      <xdr:rowOff>37800</xdr:rowOff>
    </xdr:from>
    <xdr:to>
      <xdr:col>11</xdr:col>
      <xdr:colOff>23160</xdr:colOff>
      <xdr:row>10</xdr:row>
      <xdr:rowOff>38160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
          <xdr14:nvContentPartPr>
            <xdr14:cNvPr id="75" name="Ink 74">
              <a:extLst>
                <a:ext uri="{FF2B5EF4-FFF2-40B4-BE49-F238E27FC236}">
                  <a16:creationId xmlns:a16="http://schemas.microsoft.com/office/drawing/2014/main" id="{AAE0A29D-7F55-4B0E-A40E-29A97200BBC3}"/>
                </a:ext>
              </a:extLst>
            </xdr14:cNvPr>
            <xdr14:cNvContentPartPr/>
          </xdr14:nvContentPartPr>
          <xdr14:nvPr macro=""/>
          <xdr14:xfrm>
            <a:off x="6728400" y="1866600"/>
            <a:ext cx="360" cy="360"/>
          </xdr14:xfrm>
        </xdr:contentPart>
      </mc:Choice>
      <mc:Fallback xmlns="">
        <xdr:pic>
          <xdr:nvPicPr>
            <xdr:cNvPr id="75" name="Ink 74">
              <a:extLst>
                <a:ext uri="{FF2B5EF4-FFF2-40B4-BE49-F238E27FC236}">
                  <a16:creationId xmlns:a16="http://schemas.microsoft.com/office/drawing/2014/main" id="{AAE0A29D-7F55-4B0E-A40E-29A97200BBC3}"/>
                </a:ext>
              </a:extLst>
            </xdr:cNvPr>
            <xdr:cNvPicPr/>
          </xdr:nvPicPr>
          <xdr:blipFill>
            <a:blip xmlns:r="http://schemas.openxmlformats.org/officeDocument/2006/relationships" r:embed="rId76"/>
            <a:stretch>
              <a:fillRect/>
            </a:stretch>
          </xdr:blipFill>
          <xdr:spPr>
            <a:xfrm>
              <a:off x="6710760" y="1758960"/>
              <a:ext cx="36000" cy="216000"/>
            </a:xfrm>
            <a:prstGeom prst="rect">
              <a:avLst/>
            </a:prstGeom>
          </xdr:spPr>
        </xdr:pic>
      </mc:Fallback>
    </mc:AlternateContent>
    <xdr:clientData/>
  </xdr:twoCellAnchor>
  <xdr:twoCellAnchor editAs="oneCell">
    <xdr:from>
      <xdr:col>3</xdr:col>
      <xdr:colOff>144720</xdr:colOff>
      <xdr:row>3</xdr:row>
      <xdr:rowOff>75960</xdr:rowOff>
    </xdr:from>
    <xdr:to>
      <xdr:col>3</xdr:col>
      <xdr:colOff>145080</xdr:colOff>
      <xdr:row>3</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
          <xdr14:nvContentPartPr>
            <xdr14:cNvPr id="76" name="Ink 75">
              <a:extLst>
                <a:ext uri="{FF2B5EF4-FFF2-40B4-BE49-F238E27FC236}">
                  <a16:creationId xmlns:a16="http://schemas.microsoft.com/office/drawing/2014/main" id="{FED2A572-3FA2-41F9-84DA-B2251067E81C}"/>
                </a:ext>
              </a:extLst>
            </xdr14:cNvPr>
            <xdr14:cNvContentPartPr/>
          </xdr14:nvContentPartPr>
          <xdr14:nvPr macro=""/>
          <xdr14:xfrm>
            <a:off x="1973520" y="624600"/>
            <a:ext cx="360" cy="360"/>
          </xdr14:xfrm>
        </xdr:contentPart>
      </mc:Choice>
      <mc:Fallback xmlns="">
        <xdr:pic>
          <xdr:nvPicPr>
            <xdr:cNvPr id="76" name="Ink 75">
              <a:extLst>
                <a:ext uri="{FF2B5EF4-FFF2-40B4-BE49-F238E27FC236}">
                  <a16:creationId xmlns:a16="http://schemas.microsoft.com/office/drawing/2014/main" id="{FED2A572-3FA2-41F9-84DA-B2251067E81C}"/>
                </a:ext>
              </a:extLst>
            </xdr:cNvPr>
            <xdr:cNvPicPr/>
          </xdr:nvPicPr>
          <xdr:blipFill>
            <a:blip xmlns:r="http://schemas.openxmlformats.org/officeDocument/2006/relationships" r:embed="rId78"/>
            <a:stretch>
              <a:fillRect/>
            </a:stretch>
          </xdr:blipFill>
          <xdr:spPr>
            <a:xfrm>
              <a:off x="1955880" y="516960"/>
              <a:ext cx="36000" cy="216000"/>
            </a:xfrm>
            <a:prstGeom prst="rect">
              <a:avLst/>
            </a:prstGeom>
          </xdr:spPr>
        </xdr:pic>
      </mc:Fallback>
    </mc:AlternateContent>
    <xdr:clientData/>
  </xdr:twoCellAnchor>
  <xdr:twoCellAnchor>
    <xdr:from>
      <xdr:col>0</xdr:col>
      <xdr:colOff>0</xdr:colOff>
      <xdr:row>0</xdr:row>
      <xdr:rowOff>0</xdr:rowOff>
    </xdr:from>
    <xdr:to>
      <xdr:col>23</xdr:col>
      <xdr:colOff>198120</xdr:colOff>
      <xdr:row>4</xdr:row>
      <xdr:rowOff>76200</xdr:rowOff>
    </xdr:to>
    <xdr:sp macro="" textlink="">
      <xdr:nvSpPr>
        <xdr:cNvPr id="78" name="TextBox 77">
          <a:extLst>
            <a:ext uri="{FF2B5EF4-FFF2-40B4-BE49-F238E27FC236}">
              <a16:creationId xmlns:a16="http://schemas.microsoft.com/office/drawing/2014/main" id="{AE0591F4-366A-4E68-BBB4-9E96BDA90F96}"/>
            </a:ext>
          </a:extLst>
        </xdr:cNvPr>
        <xdr:cNvSpPr txBox="1"/>
      </xdr:nvSpPr>
      <xdr:spPr>
        <a:xfrm>
          <a:off x="0" y="0"/>
          <a:ext cx="14218920" cy="807720"/>
        </a:xfrm>
        <a:prstGeom prst="rect">
          <a:avLst/>
        </a:prstGeom>
        <a:solidFill>
          <a:srgbClr val="000000">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latin typeface="Bahnschrift SemiBold SemiConden" panose="020B0502040204020203" pitchFamily="34" charset="0"/>
            </a:rPr>
            <a:t>     SPACE</a:t>
          </a:r>
          <a:r>
            <a:rPr lang="en-US" sz="3600" b="1" baseline="0">
              <a:solidFill>
                <a:schemeClr val="bg1"/>
              </a:solidFill>
              <a:latin typeface="Bahnschrift SemiBold SemiConden" panose="020B0502040204020203" pitchFamily="34" charset="0"/>
            </a:rPr>
            <a:t> MISSION DASHBOARD</a:t>
          </a:r>
          <a:endParaRPr lang="en-US" sz="3600" b="1">
            <a:solidFill>
              <a:schemeClr val="bg1"/>
            </a:solidFill>
            <a:latin typeface="Bahnschrift SemiBold SemiConden" panose="020B0502040204020203" pitchFamily="34" charset="0"/>
          </a:endParaRPr>
        </a:p>
      </xdr:txBody>
    </xdr:sp>
    <xdr:clientData/>
  </xdr:twoCellAnchor>
  <xdr:twoCellAnchor editAs="oneCell">
    <xdr:from>
      <xdr:col>6</xdr:col>
      <xdr:colOff>243840</xdr:colOff>
      <xdr:row>0</xdr:row>
      <xdr:rowOff>45720</xdr:rowOff>
    </xdr:from>
    <xdr:to>
      <xdr:col>7</xdr:col>
      <xdr:colOff>247287</xdr:colOff>
      <xdr:row>4</xdr:row>
      <xdr:rowOff>22860</xdr:rowOff>
    </xdr:to>
    <xdr:pic>
      <xdr:nvPicPr>
        <xdr:cNvPr id="80" name="Picture 79">
          <a:extLst>
            <a:ext uri="{FF2B5EF4-FFF2-40B4-BE49-F238E27FC236}">
              <a16:creationId xmlns:a16="http://schemas.microsoft.com/office/drawing/2014/main" id="{1D45155D-FF11-448F-8D22-4879FD0F4AA7}"/>
            </a:ext>
          </a:extLst>
        </xdr:cNvPr>
        <xdr:cNvPicPr>
          <a:picLocks noChangeAspect="1"/>
        </xdr:cNvPicPr>
      </xdr:nvPicPr>
      <xdr:blipFill rotWithShape="1">
        <a:blip xmlns:r="http://schemas.openxmlformats.org/officeDocument/2006/relationships" r:embed="rId79" cstate="print">
          <a:extLst>
            <a:ext uri="{28A0092B-C50C-407E-A947-70E740481C1C}">
              <a14:useLocalDpi xmlns:a14="http://schemas.microsoft.com/office/drawing/2010/main" val="0"/>
            </a:ext>
          </a:extLst>
        </a:blip>
        <a:srcRect l="22748" t="5588" r="22751" b="8530"/>
        <a:stretch/>
      </xdr:blipFill>
      <xdr:spPr>
        <a:xfrm>
          <a:off x="3901440" y="45720"/>
          <a:ext cx="613047" cy="708660"/>
        </a:xfrm>
        <a:prstGeom prst="rect">
          <a:avLst/>
        </a:prstGeom>
      </xdr:spPr>
    </xdr:pic>
    <xdr:clientData/>
  </xdr:twoCellAnchor>
  <xdr:twoCellAnchor editAs="oneCell">
    <xdr:from>
      <xdr:col>1</xdr:col>
      <xdr:colOff>441960</xdr:colOff>
      <xdr:row>0</xdr:row>
      <xdr:rowOff>114300</xdr:rowOff>
    </xdr:from>
    <xdr:to>
      <xdr:col>2</xdr:col>
      <xdr:colOff>451746</xdr:colOff>
      <xdr:row>3</xdr:row>
      <xdr:rowOff>160020</xdr:rowOff>
    </xdr:to>
    <xdr:pic>
      <xdr:nvPicPr>
        <xdr:cNvPr id="82" name="Picture 81">
          <a:extLst>
            <a:ext uri="{FF2B5EF4-FFF2-40B4-BE49-F238E27FC236}">
              <a16:creationId xmlns:a16="http://schemas.microsoft.com/office/drawing/2014/main" id="{64F26CC5-9D90-4F6D-86A4-17E27851ECFD}"/>
            </a:ext>
          </a:extLst>
        </xdr:cNvPr>
        <xdr:cNvPicPr>
          <a:picLocks noChangeAspect="1"/>
        </xdr:cNvPicPr>
      </xdr:nvPicPr>
      <xdr:blipFill rotWithShape="1">
        <a:blip xmlns:r="http://schemas.openxmlformats.org/officeDocument/2006/relationships" r:embed="rId80" cstate="print">
          <a:extLst>
            <a:ext uri="{28A0092B-C50C-407E-A947-70E740481C1C}">
              <a14:useLocalDpi xmlns:a14="http://schemas.microsoft.com/office/drawing/2010/main" val="0"/>
            </a:ext>
          </a:extLst>
        </a:blip>
        <a:srcRect l="19940" r="21997" b="12844"/>
        <a:stretch/>
      </xdr:blipFill>
      <xdr:spPr>
        <a:xfrm>
          <a:off x="1051560" y="114300"/>
          <a:ext cx="619386" cy="594360"/>
        </a:xfrm>
        <a:prstGeom prst="rect">
          <a:avLst/>
        </a:prstGeom>
      </xdr:spPr>
    </xdr:pic>
    <xdr:clientData/>
  </xdr:twoCellAnchor>
  <xdr:twoCellAnchor editAs="oneCell">
    <xdr:from>
      <xdr:col>20</xdr:col>
      <xdr:colOff>350520</xdr:colOff>
      <xdr:row>0</xdr:row>
      <xdr:rowOff>0</xdr:rowOff>
    </xdr:from>
    <xdr:to>
      <xdr:col>22</xdr:col>
      <xdr:colOff>541020</xdr:colOff>
      <xdr:row>4</xdr:row>
      <xdr:rowOff>61436</xdr:rowOff>
    </xdr:to>
    <xdr:pic>
      <xdr:nvPicPr>
        <xdr:cNvPr id="84" name="Picture 83">
          <a:extLst>
            <a:ext uri="{FF2B5EF4-FFF2-40B4-BE49-F238E27FC236}">
              <a16:creationId xmlns:a16="http://schemas.microsoft.com/office/drawing/2014/main" id="{38B61CAD-8F1F-48A3-A1CA-6538FF02CEDC}"/>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12542520" y="0"/>
          <a:ext cx="1409700" cy="792956"/>
        </a:xfrm>
        <a:prstGeom prst="rect">
          <a:avLst/>
        </a:prstGeom>
      </xdr:spPr>
    </xdr:pic>
    <xdr:clientData/>
  </xdr:twoCellAnchor>
  <xdr:twoCellAnchor editAs="oneCell">
    <xdr:from>
      <xdr:col>17</xdr:col>
      <xdr:colOff>396240</xdr:colOff>
      <xdr:row>0</xdr:row>
      <xdr:rowOff>83821</xdr:rowOff>
    </xdr:from>
    <xdr:to>
      <xdr:col>19</xdr:col>
      <xdr:colOff>352943</xdr:colOff>
      <xdr:row>4</xdr:row>
      <xdr:rowOff>91440</xdr:rowOff>
    </xdr:to>
    <xdr:pic>
      <xdr:nvPicPr>
        <xdr:cNvPr id="86" name="Picture 85">
          <a:extLst>
            <a:ext uri="{FF2B5EF4-FFF2-40B4-BE49-F238E27FC236}">
              <a16:creationId xmlns:a16="http://schemas.microsoft.com/office/drawing/2014/main" id="{41F888CE-629F-4FC9-A2F1-3589941CFE94}"/>
            </a:ext>
          </a:extLst>
        </xdr:cNvPr>
        <xdr:cNvPicPr>
          <a:picLocks noChangeAspect="1"/>
        </xdr:cNvPicPr>
      </xdr:nvPicPr>
      <xdr:blipFill rotWithShape="1">
        <a:blip xmlns:r="http://schemas.openxmlformats.org/officeDocument/2006/relationships" r:embed="rId82" cstate="print">
          <a:extLst>
            <a:ext uri="{28A0092B-C50C-407E-A947-70E740481C1C}">
              <a14:useLocalDpi xmlns:a14="http://schemas.microsoft.com/office/drawing/2010/main" val="0"/>
            </a:ext>
          </a:extLst>
        </a:blip>
        <a:srcRect l="2876" t="10609" r="4203" b="11598"/>
        <a:stretch/>
      </xdr:blipFill>
      <xdr:spPr>
        <a:xfrm>
          <a:off x="10759440" y="83821"/>
          <a:ext cx="1175903" cy="739139"/>
        </a:xfrm>
        <a:prstGeom prst="rect">
          <a:avLst/>
        </a:prstGeom>
      </xdr:spPr>
    </xdr:pic>
    <xdr:clientData/>
  </xdr:twoCellAnchor>
  <xdr:twoCellAnchor>
    <xdr:from>
      <xdr:col>0</xdr:col>
      <xdr:colOff>76200</xdr:colOff>
      <xdr:row>4</xdr:row>
      <xdr:rowOff>152400</xdr:rowOff>
    </xdr:from>
    <xdr:to>
      <xdr:col>3</xdr:col>
      <xdr:colOff>441960</xdr:colOff>
      <xdr:row>10</xdr:row>
      <xdr:rowOff>60960</xdr:rowOff>
    </xdr:to>
    <xdr:sp macro="" textlink="'Pivot Table'!A2">
      <xdr:nvSpPr>
        <xdr:cNvPr id="87" name="TextBox 86">
          <a:extLst>
            <a:ext uri="{FF2B5EF4-FFF2-40B4-BE49-F238E27FC236}">
              <a16:creationId xmlns:a16="http://schemas.microsoft.com/office/drawing/2014/main" id="{B49C760A-91EA-4FA4-9B78-BA689AD886C8}"/>
            </a:ext>
          </a:extLst>
        </xdr:cNvPr>
        <xdr:cNvSpPr txBox="1"/>
      </xdr:nvSpPr>
      <xdr:spPr>
        <a:xfrm>
          <a:off x="76200" y="883920"/>
          <a:ext cx="2194560" cy="1005840"/>
        </a:xfrm>
        <a:prstGeom prst="roundRect">
          <a:avLst/>
        </a:prstGeom>
        <a:solidFill>
          <a:schemeClr val="tx1"/>
        </a:solidFill>
        <a:ln w="9525" cmpd="sng">
          <a:solidFill>
            <a:schemeClr val="bg1"/>
          </a:solidFill>
        </a:ln>
        <a:effectLst>
          <a:glow rad="101600">
            <a:schemeClr val="bg1">
              <a:alpha val="15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solidFill>
              <a:latin typeface="Bahnschrift SemiBold SemiConden" panose="020B0502040204020203" pitchFamily="34" charset="0"/>
              <a:ea typeface="Calibri"/>
              <a:cs typeface="Calibri"/>
            </a:rPr>
            <a:t>       </a:t>
          </a:r>
        </a:p>
        <a:p>
          <a:pPr algn="ctr"/>
          <a:r>
            <a:rPr lang="en-US" sz="1400" b="1" i="0" u="none" strike="noStrike">
              <a:solidFill>
                <a:schemeClr val="bg1"/>
              </a:solidFill>
              <a:latin typeface="Bahnschrift SemiBold SemiConden" panose="020B0502040204020203" pitchFamily="34" charset="0"/>
              <a:ea typeface="Calibri"/>
              <a:cs typeface="Calibri"/>
            </a:rPr>
            <a:t>         TOTAL MISSION</a:t>
          </a:r>
        </a:p>
        <a:p>
          <a:pPr algn="ctr"/>
          <a:r>
            <a:rPr lang="en-US" sz="1800" b="1" i="0" u="none" strike="noStrike">
              <a:solidFill>
                <a:srgbClr val="9F28A8"/>
              </a:solidFill>
              <a:latin typeface="Bahnschrift SemiBold SemiConden" panose="020B0502040204020203" pitchFamily="34" charset="0"/>
              <a:ea typeface="Calibri"/>
              <a:cs typeface="Calibri"/>
            </a:rPr>
            <a:t>     1200</a:t>
          </a:r>
        </a:p>
      </xdr:txBody>
    </xdr:sp>
    <xdr:clientData/>
  </xdr:twoCellAnchor>
  <xdr:twoCellAnchor editAs="oneCell">
    <xdr:from>
      <xdr:col>0</xdr:col>
      <xdr:colOff>152640</xdr:colOff>
      <xdr:row>5</xdr:row>
      <xdr:rowOff>175200</xdr:rowOff>
    </xdr:from>
    <xdr:to>
      <xdr:col>1</xdr:col>
      <xdr:colOff>135102</xdr:colOff>
      <xdr:row>10</xdr:row>
      <xdr:rowOff>30480</xdr:rowOff>
    </xdr:to>
    <xdr:pic>
      <xdr:nvPicPr>
        <xdr:cNvPr id="89" name="Picture 88">
          <a:extLst>
            <a:ext uri="{FF2B5EF4-FFF2-40B4-BE49-F238E27FC236}">
              <a16:creationId xmlns:a16="http://schemas.microsoft.com/office/drawing/2014/main" id="{6C4A11F7-B51C-4775-A4D4-C2A06CC5ECAE}"/>
            </a:ext>
          </a:extLst>
        </xdr:cNvPr>
        <xdr:cNvPicPr>
          <a:picLocks noChangeAspect="1"/>
        </xdr:cNvPicPr>
      </xdr:nvPicPr>
      <xdr:blipFill rotWithShape="1">
        <a:blip xmlns:r="http://schemas.openxmlformats.org/officeDocument/2006/relationships" r:embed="rId83" cstate="print">
          <a:extLst>
            <a:ext uri="{28A0092B-C50C-407E-A947-70E740481C1C}">
              <a14:useLocalDpi xmlns:a14="http://schemas.microsoft.com/office/drawing/2010/main" val="0"/>
            </a:ext>
          </a:extLst>
        </a:blip>
        <a:srcRect l="33754" t="17542" r="36246" b="13125"/>
        <a:stretch/>
      </xdr:blipFill>
      <xdr:spPr>
        <a:xfrm>
          <a:off x="152640" y="1089600"/>
          <a:ext cx="592062" cy="769680"/>
        </a:xfrm>
        <a:prstGeom prst="rect">
          <a:avLst/>
        </a:prstGeom>
      </xdr:spPr>
    </xdr:pic>
    <xdr:clientData/>
  </xdr:twoCellAnchor>
  <xdr:twoCellAnchor>
    <xdr:from>
      <xdr:col>7</xdr:col>
      <xdr:colOff>373595</xdr:colOff>
      <xdr:row>4</xdr:row>
      <xdr:rowOff>166116</xdr:rowOff>
    </xdr:from>
    <xdr:to>
      <xdr:col>11</xdr:col>
      <xdr:colOff>106680</xdr:colOff>
      <xdr:row>10</xdr:row>
      <xdr:rowOff>74676</xdr:rowOff>
    </xdr:to>
    <xdr:sp macro="" textlink="'Pivot Table'!B2">
      <xdr:nvSpPr>
        <xdr:cNvPr id="90" name="TextBox 89">
          <a:extLst>
            <a:ext uri="{FF2B5EF4-FFF2-40B4-BE49-F238E27FC236}">
              <a16:creationId xmlns:a16="http://schemas.microsoft.com/office/drawing/2014/main" id="{92F86230-ACF4-4C27-BDD6-0B846FAD8FAE}"/>
            </a:ext>
          </a:extLst>
        </xdr:cNvPr>
        <xdr:cNvSpPr txBox="1"/>
      </xdr:nvSpPr>
      <xdr:spPr>
        <a:xfrm>
          <a:off x="4640795" y="897636"/>
          <a:ext cx="2171485" cy="1005840"/>
        </a:xfrm>
        <a:prstGeom prst="roundRect">
          <a:avLst/>
        </a:prstGeom>
        <a:solidFill>
          <a:schemeClr val="tx1">
            <a:lumMod val="95000"/>
            <a:lumOff val="5000"/>
          </a:schemeClr>
        </a:solidFill>
        <a:ln w="9525" cmpd="sng">
          <a:solidFill>
            <a:schemeClr val="bg1"/>
          </a:solidFill>
        </a:ln>
        <a:effectLst>
          <a:glow rad="101600">
            <a:schemeClr val="bg1">
              <a:alpha val="15000"/>
            </a:schemeClr>
          </a:glow>
        </a:effectLst>
        <a:scene3d>
          <a:camera prst="orthographicFront"/>
          <a:lightRig rig="threePt" dir="t"/>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Bahnschrift SemiBold SemiConden" panose="020B0502040204020203" pitchFamily="34" charset="0"/>
              <a:ea typeface="Calibri"/>
              <a:cs typeface="Calibri"/>
            </a:rPr>
            <a:t>            TOTAL</a:t>
          </a:r>
          <a:r>
            <a:rPr lang="en-US" sz="1400" b="1" i="0" u="none" strike="noStrike" baseline="0">
              <a:solidFill>
                <a:schemeClr val="bg1"/>
              </a:solidFill>
              <a:latin typeface="Bahnschrift SemiBold SemiConden" panose="020B0502040204020203" pitchFamily="34" charset="0"/>
              <a:ea typeface="Calibri"/>
              <a:cs typeface="Calibri"/>
            </a:rPr>
            <a:t> BUDGET</a:t>
          </a:r>
        </a:p>
        <a:p>
          <a:pPr algn="ctr"/>
          <a:r>
            <a:rPr lang="en-US" sz="1800" b="1" i="0" u="none" strike="noStrike" baseline="0">
              <a:solidFill>
                <a:srgbClr val="00B0F0"/>
              </a:solidFill>
              <a:latin typeface="Bahnschrift SemiBold SemiConden" panose="020B0502040204020203" pitchFamily="34" charset="0"/>
              <a:ea typeface="Calibri"/>
              <a:cs typeface="Calibri"/>
            </a:rPr>
            <a:t>          $ 3108711.04M</a:t>
          </a:r>
        </a:p>
        <a:p>
          <a:pPr algn="ctr"/>
          <a:r>
            <a:rPr lang="en-US" sz="1100" b="0" i="0" u="none" strike="noStrike" baseline="0">
              <a:solidFill>
                <a:schemeClr val="bg1"/>
              </a:solidFill>
              <a:latin typeface="Bahnschrift SemiBold SemiConden" panose="020B0502040204020203" pitchFamily="34" charset="0"/>
              <a:ea typeface="Calibri"/>
              <a:cs typeface="Calibri"/>
            </a:rPr>
            <a:t>             (Million USD)</a:t>
          </a:r>
          <a:r>
            <a:rPr lang="en-US" sz="1800" b="1" i="0" u="none" strike="noStrike" baseline="0">
              <a:solidFill>
                <a:srgbClr val="00B0F0"/>
              </a:solidFill>
              <a:latin typeface="Bahnschrift SemiBold SemiConden" panose="020B0502040204020203" pitchFamily="34" charset="0"/>
              <a:ea typeface="Calibri"/>
              <a:cs typeface="Calibri"/>
            </a:rPr>
            <a:t> </a:t>
          </a:r>
        </a:p>
      </xdr:txBody>
    </xdr:sp>
    <xdr:clientData/>
  </xdr:twoCellAnchor>
  <xdr:twoCellAnchor>
    <xdr:from>
      <xdr:col>3</xdr:col>
      <xdr:colOff>591729</xdr:colOff>
      <xdr:row>4</xdr:row>
      <xdr:rowOff>160020</xdr:rowOff>
    </xdr:from>
    <xdr:to>
      <xdr:col>7</xdr:col>
      <xdr:colOff>223729</xdr:colOff>
      <xdr:row>10</xdr:row>
      <xdr:rowOff>68580</xdr:rowOff>
    </xdr:to>
    <xdr:sp macro="" textlink="'Pivot Table'!E2">
      <xdr:nvSpPr>
        <xdr:cNvPr id="91" name="TextBox 90">
          <a:extLst>
            <a:ext uri="{FF2B5EF4-FFF2-40B4-BE49-F238E27FC236}">
              <a16:creationId xmlns:a16="http://schemas.microsoft.com/office/drawing/2014/main" id="{50F5DE7D-7694-44A2-BE2A-B19AFE2BA830}"/>
            </a:ext>
          </a:extLst>
        </xdr:cNvPr>
        <xdr:cNvSpPr txBox="1"/>
      </xdr:nvSpPr>
      <xdr:spPr>
        <a:xfrm>
          <a:off x="2420529" y="891540"/>
          <a:ext cx="2070400" cy="1005840"/>
        </a:xfrm>
        <a:prstGeom prst="roundRect">
          <a:avLst/>
        </a:prstGeom>
        <a:solidFill>
          <a:schemeClr val="tx1">
            <a:lumMod val="95000"/>
            <a:lumOff val="5000"/>
          </a:schemeClr>
        </a:solidFill>
        <a:ln w="9525" cmpd="sng">
          <a:solidFill>
            <a:schemeClr val="bg1"/>
          </a:solidFill>
        </a:ln>
        <a:effectLst>
          <a:glow rad="101600">
            <a:schemeClr val="bg1">
              <a:alpha val="15000"/>
            </a:schemeClr>
          </a:glow>
        </a:effectLst>
        <a:scene3d>
          <a:camera prst="orthographicFront"/>
          <a:lightRig rig="threePt" dir="t"/>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Bahnschrift SemiBold SemiConden" panose="020B0502040204020203" pitchFamily="34" charset="0"/>
            </a:rPr>
            <a:t>             SUCCESS RATE</a:t>
          </a:r>
        </a:p>
        <a:p>
          <a:pPr algn="ctr"/>
          <a:r>
            <a:rPr lang="en-US" sz="1800" b="1">
              <a:solidFill>
                <a:srgbClr val="92D050"/>
              </a:solidFill>
              <a:latin typeface="Bahnschrift SemiBold SemiConden" panose="020B0502040204020203" pitchFamily="34" charset="0"/>
            </a:rPr>
            <a:t>           35.58%</a:t>
          </a:r>
          <a:endParaRPr lang="en-US" sz="1100" b="0">
            <a:solidFill>
              <a:schemeClr val="bg1"/>
            </a:solidFill>
            <a:latin typeface="Bahnschrift SemiBold SemiConden" panose="020B0502040204020203" pitchFamily="34" charset="0"/>
          </a:endParaRPr>
        </a:p>
        <a:p>
          <a:pPr algn="ctr"/>
          <a:r>
            <a:rPr lang="en-US" sz="1100" b="0">
              <a:solidFill>
                <a:schemeClr val="bg1"/>
              </a:solidFill>
              <a:latin typeface="Bahnschrift SemiBold SemiConden" panose="020B0502040204020203" pitchFamily="34" charset="0"/>
            </a:rPr>
            <a:t>               (427/1200)</a:t>
          </a:r>
          <a:endParaRPr lang="en-US" sz="1800" b="1">
            <a:solidFill>
              <a:srgbClr val="92D050"/>
            </a:solidFill>
            <a:latin typeface="Bahnschrift SemiBold SemiConden" panose="020B0502040204020203" pitchFamily="34" charset="0"/>
          </a:endParaRPr>
        </a:p>
      </xdr:txBody>
    </xdr:sp>
    <xdr:clientData/>
  </xdr:twoCellAnchor>
  <xdr:twoCellAnchor>
    <xdr:from>
      <xdr:col>11</xdr:col>
      <xdr:colOff>266880</xdr:colOff>
      <xdr:row>5</xdr:row>
      <xdr:rowOff>0</xdr:rowOff>
    </xdr:from>
    <xdr:to>
      <xdr:col>15</xdr:col>
      <xdr:colOff>23040</xdr:colOff>
      <xdr:row>10</xdr:row>
      <xdr:rowOff>91440</xdr:rowOff>
    </xdr:to>
    <xdr:sp macro="" textlink="'Pivot Table'!C2">
      <xdr:nvSpPr>
        <xdr:cNvPr id="92" name="TextBox 91">
          <a:extLst>
            <a:ext uri="{FF2B5EF4-FFF2-40B4-BE49-F238E27FC236}">
              <a16:creationId xmlns:a16="http://schemas.microsoft.com/office/drawing/2014/main" id="{5FE33D9B-A33A-4D02-A2BE-65D929F72E4D}"/>
            </a:ext>
          </a:extLst>
        </xdr:cNvPr>
        <xdr:cNvSpPr txBox="1"/>
      </xdr:nvSpPr>
      <xdr:spPr>
        <a:xfrm>
          <a:off x="6972480" y="914400"/>
          <a:ext cx="2194560" cy="1005840"/>
        </a:xfrm>
        <a:prstGeom prst="roundRect">
          <a:avLst/>
        </a:prstGeom>
        <a:solidFill>
          <a:schemeClr val="tx1">
            <a:lumMod val="95000"/>
            <a:lumOff val="5000"/>
          </a:schemeClr>
        </a:solidFill>
        <a:ln w="9525" cmpd="sng">
          <a:solidFill>
            <a:schemeClr val="bg1"/>
          </a:solidFill>
        </a:ln>
        <a:effectLst>
          <a:glow rad="101600">
            <a:schemeClr val="bg1">
              <a:alpha val="15000"/>
            </a:schemeClr>
          </a:glow>
        </a:effectLst>
        <a:scene3d>
          <a:camera prst="orthographicFront"/>
          <a:lightRig rig="threePt" dir="t"/>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Bahnschrift SemiBold SemiConden" panose="020B0502040204020203" pitchFamily="34" charset="0"/>
            </a:rPr>
            <a:t>             TOTAL PAYLOAD</a:t>
          </a:r>
        </a:p>
        <a:p>
          <a:pPr algn="ctr"/>
          <a:r>
            <a:rPr lang="en-US" sz="1800" b="1">
              <a:solidFill>
                <a:srgbClr val="FFC000"/>
              </a:solidFill>
              <a:latin typeface="Bahnschrift SemiBold SemiConden" panose="020B0502040204020203" pitchFamily="34" charset="0"/>
            </a:rPr>
            <a:t>          30544183 Kg</a:t>
          </a:r>
        </a:p>
      </xdr:txBody>
    </xdr:sp>
    <xdr:clientData/>
  </xdr:twoCellAnchor>
  <xdr:twoCellAnchor>
    <xdr:from>
      <xdr:col>15</xdr:col>
      <xdr:colOff>176264</xdr:colOff>
      <xdr:row>4</xdr:row>
      <xdr:rowOff>173736</xdr:rowOff>
    </xdr:from>
    <xdr:to>
      <xdr:col>19</xdr:col>
      <xdr:colOff>497520</xdr:colOff>
      <xdr:row>10</xdr:row>
      <xdr:rowOff>82296</xdr:rowOff>
    </xdr:to>
    <xdr:sp macro="" textlink="'Pivot Table'!D2">
      <xdr:nvSpPr>
        <xdr:cNvPr id="93" name="TextBox 92">
          <a:extLst>
            <a:ext uri="{FF2B5EF4-FFF2-40B4-BE49-F238E27FC236}">
              <a16:creationId xmlns:a16="http://schemas.microsoft.com/office/drawing/2014/main" id="{58071C4C-4DE0-41F5-9A7F-11264D73E85D}"/>
            </a:ext>
          </a:extLst>
        </xdr:cNvPr>
        <xdr:cNvSpPr txBox="1"/>
      </xdr:nvSpPr>
      <xdr:spPr>
        <a:xfrm>
          <a:off x="9320264" y="905256"/>
          <a:ext cx="2759656" cy="1005840"/>
        </a:xfrm>
        <a:prstGeom prst="roundRect">
          <a:avLst/>
        </a:prstGeom>
        <a:solidFill>
          <a:schemeClr val="tx1">
            <a:lumMod val="95000"/>
            <a:lumOff val="5000"/>
          </a:schemeClr>
        </a:solidFill>
        <a:ln w="9525" cmpd="sng">
          <a:solidFill>
            <a:schemeClr val="bg1"/>
          </a:solidFill>
        </a:ln>
        <a:effectLst>
          <a:glow rad="101600">
            <a:schemeClr val="bg1">
              <a:alpha val="15000"/>
            </a:schemeClr>
          </a:glow>
        </a:effectLst>
        <a:scene3d>
          <a:camera prst="orthographicFront"/>
          <a:lightRig rig="threePt" dir="t"/>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Bahnschrift SemiBold SemiConden" panose="020B0502040204020203" pitchFamily="34" charset="0"/>
            </a:rPr>
            <a:t>          AVERAGE MISSION DURATION</a:t>
          </a:r>
        </a:p>
        <a:p>
          <a:pPr algn="ctr"/>
          <a:r>
            <a:rPr lang="en-US" sz="1800" b="1">
              <a:solidFill>
                <a:srgbClr val="FF4B94"/>
              </a:solidFill>
              <a:latin typeface="Bahnschrift SemiBold SemiConden" panose="020B0502040204020203" pitchFamily="34" charset="0"/>
            </a:rPr>
            <a:t>       740.2891667</a:t>
          </a:r>
          <a:r>
            <a:rPr lang="en-US" sz="1800" b="1">
              <a:solidFill>
                <a:srgbClr val="00CC99"/>
              </a:solidFill>
              <a:latin typeface="Bahnschrift SemiBold SemiConden" panose="020B0502040204020203" pitchFamily="34" charset="0"/>
            </a:rPr>
            <a:t>      </a:t>
          </a:r>
        </a:p>
        <a:p>
          <a:pPr algn="ctr"/>
          <a:r>
            <a:rPr lang="en-US" sz="1100" b="0">
              <a:solidFill>
                <a:schemeClr val="bg1"/>
              </a:solidFill>
              <a:latin typeface="Bahnschrift SemiBold SemiConden" panose="020B0502040204020203" pitchFamily="34" charset="0"/>
            </a:rPr>
            <a:t>          DAYS</a:t>
          </a:r>
        </a:p>
      </xdr:txBody>
    </xdr:sp>
    <xdr:clientData/>
  </xdr:twoCellAnchor>
  <xdr:twoCellAnchor editAs="oneCell">
    <xdr:from>
      <xdr:col>4</xdr:col>
      <xdr:colOff>114060</xdr:colOff>
      <xdr:row>6</xdr:row>
      <xdr:rowOff>15240</xdr:rowOff>
    </xdr:from>
    <xdr:to>
      <xdr:col>5</xdr:col>
      <xdr:colOff>75960</xdr:colOff>
      <xdr:row>9</xdr:row>
      <xdr:rowOff>102747</xdr:rowOff>
    </xdr:to>
    <xdr:pic>
      <xdr:nvPicPr>
        <xdr:cNvPr id="95" name="Picture 94">
          <a:extLst>
            <a:ext uri="{FF2B5EF4-FFF2-40B4-BE49-F238E27FC236}">
              <a16:creationId xmlns:a16="http://schemas.microsoft.com/office/drawing/2014/main" id="{D21AEA6D-3B56-40D7-B06F-A5E8C8458F0F}"/>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2552460" y="1112520"/>
          <a:ext cx="571500" cy="636147"/>
        </a:xfrm>
        <a:prstGeom prst="rect">
          <a:avLst/>
        </a:prstGeom>
      </xdr:spPr>
    </xdr:pic>
    <xdr:clientData/>
  </xdr:twoCellAnchor>
  <xdr:twoCellAnchor editAs="oneCell">
    <xdr:from>
      <xdr:col>7</xdr:col>
      <xdr:colOff>465360</xdr:colOff>
      <xdr:row>5</xdr:row>
      <xdr:rowOff>152160</xdr:rowOff>
    </xdr:from>
    <xdr:to>
      <xdr:col>8</xdr:col>
      <xdr:colOff>449760</xdr:colOff>
      <xdr:row>10</xdr:row>
      <xdr:rowOff>30480</xdr:rowOff>
    </xdr:to>
    <xdr:pic>
      <xdr:nvPicPr>
        <xdr:cNvPr id="99" name="Picture 98">
          <a:extLst>
            <a:ext uri="{FF2B5EF4-FFF2-40B4-BE49-F238E27FC236}">
              <a16:creationId xmlns:a16="http://schemas.microsoft.com/office/drawing/2014/main" id="{46734396-D15F-4A86-89C1-05F93AF2E426}"/>
            </a:ext>
          </a:extLst>
        </xdr:cNvPr>
        <xdr:cNvPicPr>
          <a:picLocks noChangeAspect="1"/>
        </xdr:cNvPicPr>
      </xdr:nvPicPr>
      <xdr:blipFill rotWithShape="1">
        <a:blip xmlns:r="http://schemas.openxmlformats.org/officeDocument/2006/relationships" r:embed="rId85">
          <a:extLst>
            <a:ext uri="{28A0092B-C50C-407E-A947-70E740481C1C}">
              <a14:useLocalDpi xmlns:a14="http://schemas.microsoft.com/office/drawing/2010/main" val="0"/>
            </a:ext>
          </a:extLst>
        </a:blip>
        <a:srcRect l="35700" t="19565" r="34262" b="15078"/>
        <a:stretch/>
      </xdr:blipFill>
      <xdr:spPr>
        <a:xfrm>
          <a:off x="4732560" y="1066560"/>
          <a:ext cx="594000" cy="792720"/>
        </a:xfrm>
        <a:prstGeom prst="rect">
          <a:avLst/>
        </a:prstGeom>
      </xdr:spPr>
    </xdr:pic>
    <xdr:clientData/>
  </xdr:twoCellAnchor>
  <xdr:twoCellAnchor editAs="oneCell">
    <xdr:from>
      <xdr:col>11</xdr:col>
      <xdr:colOff>366138</xdr:colOff>
      <xdr:row>6</xdr:row>
      <xdr:rowOff>72807</xdr:rowOff>
    </xdr:from>
    <xdr:to>
      <xdr:col>12</xdr:col>
      <xdr:colOff>326629</xdr:colOff>
      <xdr:row>9</xdr:row>
      <xdr:rowOff>72387</xdr:rowOff>
    </xdr:to>
    <xdr:pic>
      <xdr:nvPicPr>
        <xdr:cNvPr id="101" name="Picture 100">
          <a:extLst>
            <a:ext uri="{FF2B5EF4-FFF2-40B4-BE49-F238E27FC236}">
              <a16:creationId xmlns:a16="http://schemas.microsoft.com/office/drawing/2014/main" id="{959F3A65-E4C4-48CD-85DA-3674A0C8F4A3}"/>
            </a:ext>
          </a:extLst>
        </xdr:cNvPr>
        <xdr:cNvPicPr>
          <a:picLocks noChangeAspect="1"/>
        </xdr:cNvPicPr>
      </xdr:nvPicPr>
      <xdr:blipFill rotWithShape="1">
        <a:blip xmlns:r="http://schemas.openxmlformats.org/officeDocument/2006/relationships" r:embed="rId86" cstate="print">
          <a:extLst>
            <a:ext uri="{28A0092B-C50C-407E-A947-70E740481C1C}">
              <a14:useLocalDpi xmlns:a14="http://schemas.microsoft.com/office/drawing/2010/main" val="0"/>
            </a:ext>
          </a:extLst>
        </a:blip>
        <a:srcRect l="22101" t="22948" r="21899" b="23200"/>
        <a:stretch/>
      </xdr:blipFill>
      <xdr:spPr>
        <a:xfrm>
          <a:off x="7071738" y="1170087"/>
          <a:ext cx="570091" cy="548220"/>
        </a:xfrm>
        <a:prstGeom prst="rect">
          <a:avLst/>
        </a:prstGeom>
      </xdr:spPr>
    </xdr:pic>
    <xdr:clientData/>
  </xdr:twoCellAnchor>
  <xdr:twoCellAnchor editAs="oneCell">
    <xdr:from>
      <xdr:col>15</xdr:col>
      <xdr:colOff>282945</xdr:colOff>
      <xdr:row>6</xdr:row>
      <xdr:rowOff>45600</xdr:rowOff>
    </xdr:from>
    <xdr:to>
      <xdr:col>16</xdr:col>
      <xdr:colOff>81849</xdr:colOff>
      <xdr:row>9</xdr:row>
      <xdr:rowOff>102747</xdr:rowOff>
    </xdr:to>
    <xdr:pic>
      <xdr:nvPicPr>
        <xdr:cNvPr id="109" name="Picture 108">
          <a:extLst>
            <a:ext uri="{FF2B5EF4-FFF2-40B4-BE49-F238E27FC236}">
              <a16:creationId xmlns:a16="http://schemas.microsoft.com/office/drawing/2014/main" id="{50938550-C9B8-450E-BA9C-2863FF878F57}"/>
            </a:ext>
          </a:extLst>
        </xdr:cNvPr>
        <xdr:cNvPicPr>
          <a:picLocks noChangeAspect="1"/>
        </xdr:cNvPicPr>
      </xdr:nvPicPr>
      <xdr:blipFill rotWithShape="1">
        <a:blip xmlns:r="http://schemas.openxmlformats.org/officeDocument/2006/relationships" r:embed="rId87" cstate="print">
          <a:extLst>
            <a:ext uri="{28A0092B-C50C-407E-A947-70E740481C1C}">
              <a14:useLocalDpi xmlns:a14="http://schemas.microsoft.com/office/drawing/2010/main" val="0"/>
            </a:ext>
          </a:extLst>
        </a:blip>
        <a:srcRect l="34378" t="5778" r="33254" b="8889"/>
        <a:stretch/>
      </xdr:blipFill>
      <xdr:spPr>
        <a:xfrm>
          <a:off x="9426945" y="1142880"/>
          <a:ext cx="408504" cy="605787"/>
        </a:xfrm>
        <a:prstGeom prst="rect">
          <a:avLst/>
        </a:prstGeom>
      </xdr:spPr>
    </xdr:pic>
    <xdr:clientData/>
  </xdr:twoCellAnchor>
  <xdr:twoCellAnchor>
    <xdr:from>
      <xdr:col>0</xdr:col>
      <xdr:colOff>91620</xdr:colOff>
      <xdr:row>10</xdr:row>
      <xdr:rowOff>160200</xdr:rowOff>
    </xdr:from>
    <xdr:to>
      <xdr:col>6</xdr:col>
      <xdr:colOff>388800</xdr:colOff>
      <xdr:row>23</xdr:row>
      <xdr:rowOff>68760</xdr:rowOff>
    </xdr:to>
    <xdr:graphicFrame macro="">
      <xdr:nvGraphicFramePr>
        <xdr:cNvPr id="110" name="Misson by Agency">
          <a:extLst>
            <a:ext uri="{FF2B5EF4-FFF2-40B4-BE49-F238E27FC236}">
              <a16:creationId xmlns:a16="http://schemas.microsoft.com/office/drawing/2014/main" id="{EC4A93B6-5F6E-4BAA-A9B1-1831BD0B6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twoCellAnchor>
  <xdr:twoCellAnchor>
    <xdr:from>
      <xdr:col>6</xdr:col>
      <xdr:colOff>509509</xdr:colOff>
      <xdr:row>10</xdr:row>
      <xdr:rowOff>171048</xdr:rowOff>
    </xdr:from>
    <xdr:to>
      <xdr:col>13</xdr:col>
      <xdr:colOff>201661</xdr:colOff>
      <xdr:row>23</xdr:row>
      <xdr:rowOff>79608</xdr:rowOff>
    </xdr:to>
    <xdr:graphicFrame macro="">
      <xdr:nvGraphicFramePr>
        <xdr:cNvPr id="113" name="Chart 112">
          <a:extLst>
            <a:ext uri="{FF2B5EF4-FFF2-40B4-BE49-F238E27FC236}">
              <a16:creationId xmlns:a16="http://schemas.microsoft.com/office/drawing/2014/main" id="{058ADAC3-53B2-492A-97D4-0A9ECFF2C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twoCellAnchor>
  <xdr:twoCellAnchor>
    <xdr:from>
      <xdr:col>13</xdr:col>
      <xdr:colOff>304800</xdr:colOff>
      <xdr:row>11</xdr:row>
      <xdr:rowOff>180</xdr:rowOff>
    </xdr:from>
    <xdr:to>
      <xdr:col>19</xdr:col>
      <xdr:colOff>497520</xdr:colOff>
      <xdr:row>23</xdr:row>
      <xdr:rowOff>91620</xdr:rowOff>
    </xdr:to>
    <xdr:graphicFrame macro="">
      <xdr:nvGraphicFramePr>
        <xdr:cNvPr id="114" name="Chart 113">
          <a:extLst>
            <a:ext uri="{FF2B5EF4-FFF2-40B4-BE49-F238E27FC236}">
              <a16:creationId xmlns:a16="http://schemas.microsoft.com/office/drawing/2014/main" id="{65E90987-5CEF-4D2A-B085-1E1279919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0"/>
        </a:graphicData>
      </a:graphic>
    </xdr:graphicFrame>
    <xdr:clientData/>
  </xdr:twoCellAnchor>
  <xdr:twoCellAnchor>
    <xdr:from>
      <xdr:col>0</xdr:col>
      <xdr:colOff>91620</xdr:colOff>
      <xdr:row>23</xdr:row>
      <xdr:rowOff>137160</xdr:rowOff>
    </xdr:from>
    <xdr:to>
      <xdr:col>6</xdr:col>
      <xdr:colOff>393372</xdr:colOff>
      <xdr:row>36</xdr:row>
      <xdr:rowOff>45720</xdr:rowOff>
    </xdr:to>
    <xdr:graphicFrame macro="">
      <xdr:nvGraphicFramePr>
        <xdr:cNvPr id="115" name="Chart 114">
          <a:extLst>
            <a:ext uri="{FF2B5EF4-FFF2-40B4-BE49-F238E27FC236}">
              <a16:creationId xmlns:a16="http://schemas.microsoft.com/office/drawing/2014/main" id="{005202C6-D08F-4D6E-86FA-1DD0F8A27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1"/>
        </a:graphicData>
      </a:graphic>
    </xdr:graphicFrame>
    <xdr:clientData/>
  </xdr:twoCellAnchor>
  <xdr:twoCellAnchor>
    <xdr:from>
      <xdr:col>6</xdr:col>
      <xdr:colOff>518219</xdr:colOff>
      <xdr:row>23</xdr:row>
      <xdr:rowOff>160020</xdr:rowOff>
    </xdr:from>
    <xdr:to>
      <xdr:col>19</xdr:col>
      <xdr:colOff>502920</xdr:colOff>
      <xdr:row>36</xdr:row>
      <xdr:rowOff>60960</xdr:rowOff>
    </xdr:to>
    <xdr:graphicFrame macro="">
      <xdr:nvGraphicFramePr>
        <xdr:cNvPr id="116" name="Chart 115">
          <a:extLst>
            <a:ext uri="{FF2B5EF4-FFF2-40B4-BE49-F238E27FC236}">
              <a16:creationId xmlns:a16="http://schemas.microsoft.com/office/drawing/2014/main" id="{4422A581-1405-46E8-8BF8-22A7AF58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2"/>
        </a:graphicData>
      </a:graphic>
    </xdr:graphicFrame>
    <xdr:clientData/>
  </xdr:twoCellAnchor>
  <xdr:twoCellAnchor editAs="oneCell">
    <xdr:from>
      <xdr:col>15</xdr:col>
      <xdr:colOff>502920</xdr:colOff>
      <xdr:row>31</xdr:row>
      <xdr:rowOff>167400</xdr:rowOff>
    </xdr:from>
    <xdr:to>
      <xdr:col>15</xdr:col>
      <xdr:colOff>503280</xdr:colOff>
      <xdr:row>31</xdr:row>
      <xdr:rowOff>167760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
          <xdr14:nvContentPartPr>
            <xdr14:cNvPr id="118" name="Ink 117">
              <a:extLst>
                <a:ext uri="{FF2B5EF4-FFF2-40B4-BE49-F238E27FC236}">
                  <a16:creationId xmlns:a16="http://schemas.microsoft.com/office/drawing/2014/main" id="{9B90A2B2-BA92-409C-BF00-E3CAB84BE18C}"/>
                </a:ext>
              </a:extLst>
            </xdr14:cNvPr>
            <xdr14:cNvContentPartPr/>
          </xdr14:nvContentPartPr>
          <xdr14:nvPr macro=""/>
          <xdr14:xfrm>
            <a:off x="9646920" y="5836680"/>
            <a:ext cx="360" cy="360"/>
          </xdr14:xfrm>
        </xdr:contentPart>
      </mc:Choice>
      <mc:Fallback xmlns="">
        <xdr:pic>
          <xdr:nvPicPr>
            <xdr:cNvPr id="118" name="Ink 117">
              <a:extLst>
                <a:ext uri="{FF2B5EF4-FFF2-40B4-BE49-F238E27FC236}">
                  <a16:creationId xmlns:a16="http://schemas.microsoft.com/office/drawing/2014/main" id="{9B90A2B2-BA92-409C-BF00-E3CAB84BE18C}"/>
                </a:ext>
              </a:extLst>
            </xdr:cNvPr>
            <xdr:cNvPicPr/>
          </xdr:nvPicPr>
          <xdr:blipFill>
            <a:blip xmlns:r="http://schemas.openxmlformats.org/officeDocument/2006/relationships" r:embed="rId95"/>
            <a:stretch>
              <a:fillRect/>
            </a:stretch>
          </xdr:blipFill>
          <xdr:spPr>
            <a:xfrm>
              <a:off x="9638280" y="5828040"/>
              <a:ext cx="18000" cy="18000"/>
            </a:xfrm>
            <a:prstGeom prst="rect">
              <a:avLst/>
            </a:prstGeom>
          </xdr:spPr>
        </xdr:pic>
      </mc:Fallback>
    </mc:AlternateContent>
    <xdr:clientData/>
  </xdr:twoCellAnchor>
  <xdr:twoCellAnchor editAs="oneCell">
    <xdr:from>
      <xdr:col>21</xdr:col>
      <xdr:colOff>236160</xdr:colOff>
      <xdr:row>33</xdr:row>
      <xdr:rowOff>144720</xdr:rowOff>
    </xdr:from>
    <xdr:to>
      <xdr:col>21</xdr:col>
      <xdr:colOff>236520</xdr:colOff>
      <xdr:row>33</xdr:row>
      <xdr:rowOff>145080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
          <xdr14:nvContentPartPr>
            <xdr14:cNvPr id="119" name="Ink 118">
              <a:extLst>
                <a:ext uri="{FF2B5EF4-FFF2-40B4-BE49-F238E27FC236}">
                  <a16:creationId xmlns:a16="http://schemas.microsoft.com/office/drawing/2014/main" id="{98F16D97-A6C1-432A-8EC9-53DA51427486}"/>
                </a:ext>
              </a:extLst>
            </xdr14:cNvPr>
            <xdr14:cNvContentPartPr/>
          </xdr14:nvContentPartPr>
          <xdr14:nvPr macro=""/>
          <xdr14:xfrm>
            <a:off x="13037760" y="6179760"/>
            <a:ext cx="360" cy="360"/>
          </xdr14:xfrm>
        </xdr:contentPart>
      </mc:Choice>
      <mc:Fallback xmlns="">
        <xdr:pic>
          <xdr:nvPicPr>
            <xdr:cNvPr id="119" name="Ink 118">
              <a:extLst>
                <a:ext uri="{FF2B5EF4-FFF2-40B4-BE49-F238E27FC236}">
                  <a16:creationId xmlns:a16="http://schemas.microsoft.com/office/drawing/2014/main" id="{98F16D97-A6C1-432A-8EC9-53DA51427486}"/>
                </a:ext>
              </a:extLst>
            </xdr:cNvPr>
            <xdr:cNvPicPr/>
          </xdr:nvPicPr>
          <xdr:blipFill>
            <a:blip xmlns:r="http://schemas.openxmlformats.org/officeDocument/2006/relationships" r:embed="rId97"/>
            <a:stretch>
              <a:fillRect/>
            </a:stretch>
          </xdr:blipFill>
          <xdr:spPr>
            <a:xfrm>
              <a:off x="13029120" y="6171120"/>
              <a:ext cx="18000" cy="18000"/>
            </a:xfrm>
            <a:prstGeom prst="rect">
              <a:avLst/>
            </a:prstGeom>
          </xdr:spPr>
        </xdr:pic>
      </mc:Fallback>
    </mc:AlternateContent>
    <xdr:clientData/>
  </xdr:twoCellAnchor>
  <xdr:twoCellAnchor editAs="oneCell">
    <xdr:from>
      <xdr:col>19</xdr:col>
      <xdr:colOff>304800</xdr:colOff>
      <xdr:row>38</xdr:row>
      <xdr:rowOff>22680</xdr:rowOff>
    </xdr:from>
    <xdr:to>
      <xdr:col>19</xdr:col>
      <xdr:colOff>305160</xdr:colOff>
      <xdr:row>38</xdr:row>
      <xdr:rowOff>23040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
          <xdr14:nvContentPartPr>
            <xdr14:cNvPr id="120" name="Ink 119">
              <a:extLst>
                <a:ext uri="{FF2B5EF4-FFF2-40B4-BE49-F238E27FC236}">
                  <a16:creationId xmlns:a16="http://schemas.microsoft.com/office/drawing/2014/main" id="{19AFCDCF-D059-40B6-B311-CF70D9C5D49E}"/>
                </a:ext>
              </a:extLst>
            </xdr14:cNvPr>
            <xdr14:cNvContentPartPr/>
          </xdr14:nvContentPartPr>
          <xdr14:nvPr macro=""/>
          <xdr14:xfrm>
            <a:off x="11887200" y="6972120"/>
            <a:ext cx="360" cy="360"/>
          </xdr14:xfrm>
        </xdr:contentPart>
      </mc:Choice>
      <mc:Fallback xmlns="">
        <xdr:pic>
          <xdr:nvPicPr>
            <xdr:cNvPr id="120" name="Ink 119">
              <a:extLst>
                <a:ext uri="{FF2B5EF4-FFF2-40B4-BE49-F238E27FC236}">
                  <a16:creationId xmlns:a16="http://schemas.microsoft.com/office/drawing/2014/main" id="{19AFCDCF-D059-40B6-B311-CF70D9C5D49E}"/>
                </a:ext>
              </a:extLst>
            </xdr:cNvPr>
            <xdr:cNvPicPr/>
          </xdr:nvPicPr>
          <xdr:blipFill>
            <a:blip xmlns:r="http://schemas.openxmlformats.org/officeDocument/2006/relationships" r:embed="rId99"/>
            <a:stretch>
              <a:fillRect/>
            </a:stretch>
          </xdr:blipFill>
          <xdr:spPr>
            <a:xfrm>
              <a:off x="11878560" y="6963480"/>
              <a:ext cx="18000" cy="18000"/>
            </a:xfrm>
            <a:prstGeom prst="rect">
              <a:avLst/>
            </a:prstGeom>
          </xdr:spPr>
        </xdr:pic>
      </mc:Fallback>
    </mc:AlternateContent>
    <xdr:clientData/>
  </xdr:twoCellAnchor>
  <xdr:twoCellAnchor editAs="oneCell">
    <xdr:from>
      <xdr:col>22</xdr:col>
      <xdr:colOff>91320</xdr:colOff>
      <xdr:row>43</xdr:row>
      <xdr:rowOff>15120</xdr:rowOff>
    </xdr:from>
    <xdr:to>
      <xdr:col>22</xdr:col>
      <xdr:colOff>91680</xdr:colOff>
      <xdr:row>43</xdr:row>
      <xdr:rowOff>15480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
          <xdr14:nvContentPartPr>
            <xdr14:cNvPr id="121" name="Ink 120">
              <a:extLst>
                <a:ext uri="{FF2B5EF4-FFF2-40B4-BE49-F238E27FC236}">
                  <a16:creationId xmlns:a16="http://schemas.microsoft.com/office/drawing/2014/main" id="{41C80862-BC75-4C55-954E-B7F86B06FD26}"/>
                </a:ext>
              </a:extLst>
            </xdr14:cNvPr>
            <xdr14:cNvContentPartPr/>
          </xdr14:nvContentPartPr>
          <xdr14:nvPr macro=""/>
          <xdr14:xfrm>
            <a:off x="13502520" y="7878960"/>
            <a:ext cx="360" cy="360"/>
          </xdr14:xfrm>
        </xdr:contentPart>
      </mc:Choice>
      <mc:Fallback xmlns="">
        <xdr:pic>
          <xdr:nvPicPr>
            <xdr:cNvPr id="121" name="Ink 120">
              <a:extLst>
                <a:ext uri="{FF2B5EF4-FFF2-40B4-BE49-F238E27FC236}">
                  <a16:creationId xmlns:a16="http://schemas.microsoft.com/office/drawing/2014/main" id="{41C80862-BC75-4C55-954E-B7F86B06FD26}"/>
                </a:ext>
              </a:extLst>
            </xdr:cNvPr>
            <xdr:cNvPicPr/>
          </xdr:nvPicPr>
          <xdr:blipFill>
            <a:blip xmlns:r="http://schemas.openxmlformats.org/officeDocument/2006/relationships" r:embed="rId101"/>
            <a:stretch>
              <a:fillRect/>
            </a:stretch>
          </xdr:blipFill>
          <xdr:spPr>
            <a:xfrm>
              <a:off x="13493880" y="7870320"/>
              <a:ext cx="18000" cy="18000"/>
            </a:xfrm>
            <a:prstGeom prst="rect">
              <a:avLst/>
            </a:prstGeom>
          </xdr:spPr>
        </xdr:pic>
      </mc:Fallback>
    </mc:AlternateContent>
    <xdr:clientData/>
  </xdr:twoCellAnchor>
  <xdr:twoCellAnchor editAs="oneCell">
    <xdr:from>
      <xdr:col>16</xdr:col>
      <xdr:colOff>319920</xdr:colOff>
      <xdr:row>45</xdr:row>
      <xdr:rowOff>22680</xdr:rowOff>
    </xdr:from>
    <xdr:to>
      <xdr:col>16</xdr:col>
      <xdr:colOff>320280</xdr:colOff>
      <xdr:row>45</xdr:row>
      <xdr:rowOff>23040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
          <xdr14:nvContentPartPr>
            <xdr14:cNvPr id="122" name="Ink 121">
              <a:extLst>
                <a:ext uri="{FF2B5EF4-FFF2-40B4-BE49-F238E27FC236}">
                  <a16:creationId xmlns:a16="http://schemas.microsoft.com/office/drawing/2014/main" id="{054DC151-D859-4B16-9EE7-B1289725B303}"/>
                </a:ext>
              </a:extLst>
            </xdr14:cNvPr>
            <xdr14:cNvContentPartPr/>
          </xdr14:nvContentPartPr>
          <xdr14:nvPr macro=""/>
          <xdr14:xfrm>
            <a:off x="10073520" y="8252280"/>
            <a:ext cx="360" cy="360"/>
          </xdr14:xfrm>
        </xdr:contentPart>
      </mc:Choice>
      <mc:Fallback xmlns="">
        <xdr:pic>
          <xdr:nvPicPr>
            <xdr:cNvPr id="122" name="Ink 121">
              <a:extLst>
                <a:ext uri="{FF2B5EF4-FFF2-40B4-BE49-F238E27FC236}">
                  <a16:creationId xmlns:a16="http://schemas.microsoft.com/office/drawing/2014/main" id="{054DC151-D859-4B16-9EE7-B1289725B303}"/>
                </a:ext>
              </a:extLst>
            </xdr:cNvPr>
            <xdr:cNvPicPr/>
          </xdr:nvPicPr>
          <xdr:blipFill>
            <a:blip xmlns:r="http://schemas.openxmlformats.org/officeDocument/2006/relationships" r:embed="rId103"/>
            <a:stretch>
              <a:fillRect/>
            </a:stretch>
          </xdr:blipFill>
          <xdr:spPr>
            <a:xfrm>
              <a:off x="10064880" y="8243640"/>
              <a:ext cx="18000" cy="18000"/>
            </a:xfrm>
            <a:prstGeom prst="rect">
              <a:avLst/>
            </a:prstGeom>
          </xdr:spPr>
        </xdr:pic>
      </mc:Fallback>
    </mc:AlternateContent>
    <xdr:clientData/>
  </xdr:twoCellAnchor>
  <xdr:twoCellAnchor editAs="oneCell">
    <xdr:from>
      <xdr:col>15</xdr:col>
      <xdr:colOff>548640</xdr:colOff>
      <xdr:row>40</xdr:row>
      <xdr:rowOff>53280</xdr:rowOff>
    </xdr:from>
    <xdr:to>
      <xdr:col>15</xdr:col>
      <xdr:colOff>549000</xdr:colOff>
      <xdr:row>40</xdr:row>
      <xdr:rowOff>53640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
          <xdr14:nvContentPartPr>
            <xdr14:cNvPr id="123" name="Ink 122">
              <a:extLst>
                <a:ext uri="{FF2B5EF4-FFF2-40B4-BE49-F238E27FC236}">
                  <a16:creationId xmlns:a16="http://schemas.microsoft.com/office/drawing/2014/main" id="{7CBACBE7-9D80-4BE4-8972-3270CED038A7}"/>
                </a:ext>
              </a:extLst>
            </xdr14:cNvPr>
            <xdr14:cNvContentPartPr/>
          </xdr14:nvContentPartPr>
          <xdr14:nvPr macro=""/>
          <xdr14:xfrm>
            <a:off x="9692640" y="7368480"/>
            <a:ext cx="360" cy="360"/>
          </xdr14:xfrm>
        </xdr:contentPart>
      </mc:Choice>
      <mc:Fallback xmlns="">
        <xdr:pic>
          <xdr:nvPicPr>
            <xdr:cNvPr id="123" name="Ink 122">
              <a:extLst>
                <a:ext uri="{FF2B5EF4-FFF2-40B4-BE49-F238E27FC236}">
                  <a16:creationId xmlns:a16="http://schemas.microsoft.com/office/drawing/2014/main" id="{7CBACBE7-9D80-4BE4-8972-3270CED038A7}"/>
                </a:ext>
              </a:extLst>
            </xdr:cNvPr>
            <xdr:cNvPicPr/>
          </xdr:nvPicPr>
          <xdr:blipFill>
            <a:blip xmlns:r="http://schemas.openxmlformats.org/officeDocument/2006/relationships" r:embed="rId105"/>
            <a:stretch>
              <a:fillRect/>
            </a:stretch>
          </xdr:blipFill>
          <xdr:spPr>
            <a:xfrm>
              <a:off x="9684000" y="7359840"/>
              <a:ext cx="18000" cy="18000"/>
            </a:xfrm>
            <a:prstGeom prst="rect">
              <a:avLst/>
            </a:prstGeom>
          </xdr:spPr>
        </xdr:pic>
      </mc:Fallback>
    </mc:AlternateContent>
    <xdr:clientData/>
  </xdr:twoCellAnchor>
  <xdr:twoCellAnchor editAs="oneCell">
    <xdr:from>
      <xdr:col>10</xdr:col>
      <xdr:colOff>358080</xdr:colOff>
      <xdr:row>46</xdr:row>
      <xdr:rowOff>60840</xdr:rowOff>
    </xdr:from>
    <xdr:to>
      <xdr:col>10</xdr:col>
      <xdr:colOff>358440</xdr:colOff>
      <xdr:row>46</xdr:row>
      <xdr:rowOff>61200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
          <xdr14:nvContentPartPr>
            <xdr14:cNvPr id="124" name="Ink 123">
              <a:extLst>
                <a:ext uri="{FF2B5EF4-FFF2-40B4-BE49-F238E27FC236}">
                  <a16:creationId xmlns:a16="http://schemas.microsoft.com/office/drawing/2014/main" id="{51445F51-54E1-4165-A65E-193D98F0F833}"/>
                </a:ext>
              </a:extLst>
            </xdr14:cNvPr>
            <xdr14:cNvContentPartPr/>
          </xdr14:nvContentPartPr>
          <xdr14:nvPr macro=""/>
          <xdr14:xfrm>
            <a:off x="6454080" y="8473320"/>
            <a:ext cx="360" cy="360"/>
          </xdr14:xfrm>
        </xdr:contentPart>
      </mc:Choice>
      <mc:Fallback xmlns="">
        <xdr:pic>
          <xdr:nvPicPr>
            <xdr:cNvPr id="124" name="Ink 123">
              <a:extLst>
                <a:ext uri="{FF2B5EF4-FFF2-40B4-BE49-F238E27FC236}">
                  <a16:creationId xmlns:a16="http://schemas.microsoft.com/office/drawing/2014/main" id="{51445F51-54E1-4165-A65E-193D98F0F833}"/>
                </a:ext>
              </a:extLst>
            </xdr:cNvPr>
            <xdr:cNvPicPr/>
          </xdr:nvPicPr>
          <xdr:blipFill>
            <a:blip xmlns:r="http://schemas.openxmlformats.org/officeDocument/2006/relationships" r:embed="rId107"/>
            <a:stretch>
              <a:fillRect/>
            </a:stretch>
          </xdr:blipFill>
          <xdr:spPr>
            <a:xfrm>
              <a:off x="6445440" y="8464680"/>
              <a:ext cx="18000" cy="18000"/>
            </a:xfrm>
            <a:prstGeom prst="rect">
              <a:avLst/>
            </a:prstGeom>
          </xdr:spPr>
        </xdr:pic>
      </mc:Fallback>
    </mc:AlternateContent>
    <xdr:clientData/>
  </xdr:twoCellAnchor>
  <xdr:twoCellAnchor editAs="oneCell">
    <xdr:from>
      <xdr:col>11</xdr:col>
      <xdr:colOff>335280</xdr:colOff>
      <xdr:row>41</xdr:row>
      <xdr:rowOff>37800</xdr:rowOff>
    </xdr:from>
    <xdr:to>
      <xdr:col>11</xdr:col>
      <xdr:colOff>335640</xdr:colOff>
      <xdr:row>41</xdr:row>
      <xdr:rowOff>38160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
          <xdr14:nvContentPartPr>
            <xdr14:cNvPr id="125" name="Ink 124">
              <a:extLst>
                <a:ext uri="{FF2B5EF4-FFF2-40B4-BE49-F238E27FC236}">
                  <a16:creationId xmlns:a16="http://schemas.microsoft.com/office/drawing/2014/main" id="{89D28CB2-47AB-4668-A1C5-0E7CC7FA7DF7}"/>
                </a:ext>
              </a:extLst>
            </xdr14:cNvPr>
            <xdr14:cNvContentPartPr/>
          </xdr14:nvContentPartPr>
          <xdr14:nvPr macro=""/>
          <xdr14:xfrm>
            <a:off x="7040880" y="7535880"/>
            <a:ext cx="360" cy="360"/>
          </xdr14:xfrm>
        </xdr:contentPart>
      </mc:Choice>
      <mc:Fallback xmlns="">
        <xdr:pic>
          <xdr:nvPicPr>
            <xdr:cNvPr id="125" name="Ink 124">
              <a:extLst>
                <a:ext uri="{FF2B5EF4-FFF2-40B4-BE49-F238E27FC236}">
                  <a16:creationId xmlns:a16="http://schemas.microsoft.com/office/drawing/2014/main" id="{89D28CB2-47AB-4668-A1C5-0E7CC7FA7DF7}"/>
                </a:ext>
              </a:extLst>
            </xdr:cNvPr>
            <xdr:cNvPicPr/>
          </xdr:nvPicPr>
          <xdr:blipFill>
            <a:blip xmlns:r="http://schemas.openxmlformats.org/officeDocument/2006/relationships" r:embed="rId109"/>
            <a:stretch>
              <a:fillRect/>
            </a:stretch>
          </xdr:blipFill>
          <xdr:spPr>
            <a:xfrm>
              <a:off x="7032240" y="7527240"/>
              <a:ext cx="18000" cy="18000"/>
            </a:xfrm>
            <a:prstGeom prst="rect">
              <a:avLst/>
            </a:prstGeom>
          </xdr:spPr>
        </xdr:pic>
      </mc:Fallback>
    </mc:AlternateContent>
    <xdr:clientData/>
  </xdr:twoCellAnchor>
  <xdr:twoCellAnchor editAs="oneCell">
    <xdr:from>
      <xdr:col>7</xdr:col>
      <xdr:colOff>396240</xdr:colOff>
      <xdr:row>53</xdr:row>
      <xdr:rowOff>0</xdr:rowOff>
    </xdr:from>
    <xdr:to>
      <xdr:col>7</xdr:col>
      <xdr:colOff>396600</xdr:colOff>
      <xdr:row>53</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
          <xdr14:nvContentPartPr>
            <xdr14:cNvPr id="129" name="Ink 128">
              <a:extLst>
                <a:ext uri="{FF2B5EF4-FFF2-40B4-BE49-F238E27FC236}">
                  <a16:creationId xmlns:a16="http://schemas.microsoft.com/office/drawing/2014/main" id="{5E688D83-E7B4-4DF1-9EB1-5BD23F08F73C}"/>
                </a:ext>
              </a:extLst>
            </xdr14:cNvPr>
            <xdr14:cNvContentPartPr/>
          </xdr14:nvContentPartPr>
          <xdr14:nvPr macro=""/>
          <xdr14:xfrm>
            <a:off x="4663440" y="9692640"/>
            <a:ext cx="360" cy="360"/>
          </xdr14:xfrm>
        </xdr:contentPart>
      </mc:Choice>
      <mc:Fallback xmlns="">
        <xdr:pic>
          <xdr:nvPicPr>
            <xdr:cNvPr id="129" name="Ink 128">
              <a:extLst>
                <a:ext uri="{FF2B5EF4-FFF2-40B4-BE49-F238E27FC236}">
                  <a16:creationId xmlns:a16="http://schemas.microsoft.com/office/drawing/2014/main" id="{5E688D83-E7B4-4DF1-9EB1-5BD23F08F73C}"/>
                </a:ext>
              </a:extLst>
            </xdr:cNvPr>
            <xdr:cNvPicPr/>
          </xdr:nvPicPr>
          <xdr:blipFill>
            <a:blip xmlns:r="http://schemas.openxmlformats.org/officeDocument/2006/relationships" r:embed="rId111"/>
            <a:stretch>
              <a:fillRect/>
            </a:stretch>
          </xdr:blipFill>
          <xdr:spPr>
            <a:xfrm>
              <a:off x="4654800" y="9684000"/>
              <a:ext cx="18000" cy="18000"/>
            </a:xfrm>
            <a:prstGeom prst="rect">
              <a:avLst/>
            </a:prstGeom>
          </xdr:spPr>
        </xdr:pic>
      </mc:Fallback>
    </mc:AlternateContent>
    <xdr:clientData/>
  </xdr:twoCellAnchor>
  <xdr:twoCellAnchor editAs="oneCell">
    <xdr:from>
      <xdr:col>12</xdr:col>
      <xdr:colOff>99000</xdr:colOff>
      <xdr:row>58</xdr:row>
      <xdr:rowOff>75960</xdr:rowOff>
    </xdr:from>
    <xdr:to>
      <xdr:col>12</xdr:col>
      <xdr:colOff>99360</xdr:colOff>
      <xdr:row>58</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
          <xdr14:nvContentPartPr>
            <xdr14:cNvPr id="130" name="Ink 129">
              <a:extLst>
                <a:ext uri="{FF2B5EF4-FFF2-40B4-BE49-F238E27FC236}">
                  <a16:creationId xmlns:a16="http://schemas.microsoft.com/office/drawing/2014/main" id="{4F6EF80E-9131-4370-B446-47D5C26F7E72}"/>
                </a:ext>
              </a:extLst>
            </xdr14:cNvPr>
            <xdr14:cNvContentPartPr/>
          </xdr14:nvContentPartPr>
          <xdr14:nvPr macro=""/>
          <xdr14:xfrm>
            <a:off x="7414200" y="10683000"/>
            <a:ext cx="360" cy="360"/>
          </xdr14:xfrm>
        </xdr:contentPart>
      </mc:Choice>
      <mc:Fallback xmlns="">
        <xdr:pic>
          <xdr:nvPicPr>
            <xdr:cNvPr id="130" name="Ink 129">
              <a:extLst>
                <a:ext uri="{FF2B5EF4-FFF2-40B4-BE49-F238E27FC236}">
                  <a16:creationId xmlns:a16="http://schemas.microsoft.com/office/drawing/2014/main" id="{4F6EF80E-9131-4370-B446-47D5C26F7E72}"/>
                </a:ext>
              </a:extLst>
            </xdr:cNvPr>
            <xdr:cNvPicPr/>
          </xdr:nvPicPr>
          <xdr:blipFill>
            <a:blip xmlns:r="http://schemas.openxmlformats.org/officeDocument/2006/relationships" r:embed="rId113"/>
            <a:stretch>
              <a:fillRect/>
            </a:stretch>
          </xdr:blipFill>
          <xdr:spPr>
            <a:xfrm>
              <a:off x="7405560" y="10674360"/>
              <a:ext cx="18000" cy="18000"/>
            </a:xfrm>
            <a:prstGeom prst="rect">
              <a:avLst/>
            </a:prstGeom>
          </xdr:spPr>
        </xdr:pic>
      </mc:Fallback>
    </mc:AlternateContent>
    <xdr:clientData/>
  </xdr:twoCellAnchor>
  <xdr:twoCellAnchor editAs="oneCell">
    <xdr:from>
      <xdr:col>15</xdr:col>
      <xdr:colOff>449280</xdr:colOff>
      <xdr:row>57</xdr:row>
      <xdr:rowOff>91440</xdr:rowOff>
    </xdr:from>
    <xdr:to>
      <xdr:col>15</xdr:col>
      <xdr:colOff>449640</xdr:colOff>
      <xdr:row>57</xdr:row>
      <xdr:rowOff>91800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
          <xdr14:nvContentPartPr>
            <xdr14:cNvPr id="131" name="Ink 130">
              <a:extLst>
                <a:ext uri="{FF2B5EF4-FFF2-40B4-BE49-F238E27FC236}">
                  <a16:creationId xmlns:a16="http://schemas.microsoft.com/office/drawing/2014/main" id="{0C5E2A6C-5FD2-4D8A-94BF-E6FC3A28BF0F}"/>
                </a:ext>
              </a:extLst>
            </xdr14:cNvPr>
            <xdr14:cNvContentPartPr/>
          </xdr14:nvContentPartPr>
          <xdr14:nvPr macro=""/>
          <xdr14:xfrm>
            <a:off x="9593280" y="10515600"/>
            <a:ext cx="360" cy="360"/>
          </xdr14:xfrm>
        </xdr:contentPart>
      </mc:Choice>
      <mc:Fallback xmlns="">
        <xdr:pic>
          <xdr:nvPicPr>
            <xdr:cNvPr id="131" name="Ink 130">
              <a:extLst>
                <a:ext uri="{FF2B5EF4-FFF2-40B4-BE49-F238E27FC236}">
                  <a16:creationId xmlns:a16="http://schemas.microsoft.com/office/drawing/2014/main" id="{0C5E2A6C-5FD2-4D8A-94BF-E6FC3A28BF0F}"/>
                </a:ext>
              </a:extLst>
            </xdr:cNvPr>
            <xdr:cNvPicPr/>
          </xdr:nvPicPr>
          <xdr:blipFill>
            <a:blip xmlns:r="http://schemas.openxmlformats.org/officeDocument/2006/relationships" r:embed="rId115"/>
            <a:stretch>
              <a:fillRect/>
            </a:stretch>
          </xdr:blipFill>
          <xdr:spPr>
            <a:xfrm>
              <a:off x="9584640" y="10506960"/>
              <a:ext cx="18000" cy="18000"/>
            </a:xfrm>
            <a:prstGeom prst="rect">
              <a:avLst/>
            </a:prstGeom>
          </xdr:spPr>
        </xdr:pic>
      </mc:Fallback>
    </mc:AlternateContent>
    <xdr:clientData/>
  </xdr:twoCellAnchor>
  <xdr:twoCellAnchor editAs="oneCell">
    <xdr:from>
      <xdr:col>5</xdr:col>
      <xdr:colOff>121800</xdr:colOff>
      <xdr:row>40</xdr:row>
      <xdr:rowOff>129240</xdr:rowOff>
    </xdr:from>
    <xdr:to>
      <xdr:col>5</xdr:col>
      <xdr:colOff>122160</xdr:colOff>
      <xdr:row>40</xdr:row>
      <xdr:rowOff>129600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
          <xdr14:nvContentPartPr>
            <xdr14:cNvPr id="132" name="Ink 131">
              <a:extLst>
                <a:ext uri="{FF2B5EF4-FFF2-40B4-BE49-F238E27FC236}">
                  <a16:creationId xmlns:a16="http://schemas.microsoft.com/office/drawing/2014/main" id="{6E0D80AB-D27D-491C-9208-921643427481}"/>
                </a:ext>
              </a:extLst>
            </xdr14:cNvPr>
            <xdr14:cNvContentPartPr/>
          </xdr14:nvContentPartPr>
          <xdr14:nvPr macro=""/>
          <xdr14:xfrm>
            <a:off x="3169800" y="7444440"/>
            <a:ext cx="360" cy="360"/>
          </xdr14:xfrm>
        </xdr:contentPart>
      </mc:Choice>
      <mc:Fallback xmlns="">
        <xdr:pic>
          <xdr:nvPicPr>
            <xdr:cNvPr id="132" name="Ink 131">
              <a:extLst>
                <a:ext uri="{FF2B5EF4-FFF2-40B4-BE49-F238E27FC236}">
                  <a16:creationId xmlns:a16="http://schemas.microsoft.com/office/drawing/2014/main" id="{6E0D80AB-D27D-491C-9208-921643427481}"/>
                </a:ext>
              </a:extLst>
            </xdr:cNvPr>
            <xdr:cNvPicPr/>
          </xdr:nvPicPr>
          <xdr:blipFill>
            <a:blip xmlns:r="http://schemas.openxmlformats.org/officeDocument/2006/relationships" r:embed="rId117"/>
            <a:stretch>
              <a:fillRect/>
            </a:stretch>
          </xdr:blipFill>
          <xdr:spPr>
            <a:xfrm>
              <a:off x="3161160" y="7435800"/>
              <a:ext cx="18000" cy="18000"/>
            </a:xfrm>
            <a:prstGeom prst="rect">
              <a:avLst/>
            </a:prstGeom>
          </xdr:spPr>
        </xdr:pic>
      </mc:Fallback>
    </mc:AlternateContent>
    <xdr:clientData/>
  </xdr:twoCellAnchor>
  <xdr:twoCellAnchor editAs="oneCell">
    <xdr:from>
      <xdr:col>1</xdr:col>
      <xdr:colOff>510360</xdr:colOff>
      <xdr:row>46</xdr:row>
      <xdr:rowOff>144720</xdr:rowOff>
    </xdr:from>
    <xdr:to>
      <xdr:col>1</xdr:col>
      <xdr:colOff>510720</xdr:colOff>
      <xdr:row>46</xdr:row>
      <xdr:rowOff>145080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
          <xdr14:nvContentPartPr>
            <xdr14:cNvPr id="133" name="Ink 132">
              <a:extLst>
                <a:ext uri="{FF2B5EF4-FFF2-40B4-BE49-F238E27FC236}">
                  <a16:creationId xmlns:a16="http://schemas.microsoft.com/office/drawing/2014/main" id="{F516C883-E45D-4260-9097-72AF7D804400}"/>
                </a:ext>
              </a:extLst>
            </xdr14:cNvPr>
            <xdr14:cNvContentPartPr/>
          </xdr14:nvContentPartPr>
          <xdr14:nvPr macro=""/>
          <xdr14:xfrm>
            <a:off x="1119960" y="8557200"/>
            <a:ext cx="360" cy="360"/>
          </xdr14:xfrm>
        </xdr:contentPart>
      </mc:Choice>
      <mc:Fallback xmlns="">
        <xdr:pic>
          <xdr:nvPicPr>
            <xdr:cNvPr id="133" name="Ink 132">
              <a:extLst>
                <a:ext uri="{FF2B5EF4-FFF2-40B4-BE49-F238E27FC236}">
                  <a16:creationId xmlns:a16="http://schemas.microsoft.com/office/drawing/2014/main" id="{F516C883-E45D-4260-9097-72AF7D804400}"/>
                </a:ext>
              </a:extLst>
            </xdr:cNvPr>
            <xdr:cNvPicPr/>
          </xdr:nvPicPr>
          <xdr:blipFill>
            <a:blip xmlns:r="http://schemas.openxmlformats.org/officeDocument/2006/relationships" r:embed="rId119"/>
            <a:stretch>
              <a:fillRect/>
            </a:stretch>
          </xdr:blipFill>
          <xdr:spPr>
            <a:xfrm>
              <a:off x="1111320" y="8548560"/>
              <a:ext cx="18000" cy="18000"/>
            </a:xfrm>
            <a:prstGeom prst="rect">
              <a:avLst/>
            </a:prstGeom>
          </xdr:spPr>
        </xdr:pic>
      </mc:Fallback>
    </mc:AlternateContent>
    <xdr:clientData/>
  </xdr:twoCellAnchor>
  <xdr:twoCellAnchor editAs="oneCell">
    <xdr:from>
      <xdr:col>1</xdr:col>
      <xdr:colOff>83760</xdr:colOff>
      <xdr:row>37</xdr:row>
      <xdr:rowOff>144720</xdr:rowOff>
    </xdr:from>
    <xdr:to>
      <xdr:col>1</xdr:col>
      <xdr:colOff>84120</xdr:colOff>
      <xdr:row>37</xdr:row>
      <xdr:rowOff>145080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
          <xdr14:nvContentPartPr>
            <xdr14:cNvPr id="134" name="Ink 133">
              <a:extLst>
                <a:ext uri="{FF2B5EF4-FFF2-40B4-BE49-F238E27FC236}">
                  <a16:creationId xmlns:a16="http://schemas.microsoft.com/office/drawing/2014/main" id="{7BEEC567-DD50-4B1E-BA3B-DAEA9976F217}"/>
                </a:ext>
              </a:extLst>
            </xdr14:cNvPr>
            <xdr14:cNvContentPartPr/>
          </xdr14:nvContentPartPr>
          <xdr14:nvPr macro=""/>
          <xdr14:xfrm>
            <a:off x="693360" y="6911280"/>
            <a:ext cx="360" cy="360"/>
          </xdr14:xfrm>
        </xdr:contentPart>
      </mc:Choice>
      <mc:Fallback xmlns="">
        <xdr:pic>
          <xdr:nvPicPr>
            <xdr:cNvPr id="134" name="Ink 133">
              <a:extLst>
                <a:ext uri="{FF2B5EF4-FFF2-40B4-BE49-F238E27FC236}">
                  <a16:creationId xmlns:a16="http://schemas.microsoft.com/office/drawing/2014/main" id="{7BEEC567-DD50-4B1E-BA3B-DAEA9976F217}"/>
                </a:ext>
              </a:extLst>
            </xdr:cNvPr>
            <xdr:cNvPicPr/>
          </xdr:nvPicPr>
          <xdr:blipFill>
            <a:blip xmlns:r="http://schemas.openxmlformats.org/officeDocument/2006/relationships" r:embed="rId121"/>
            <a:stretch>
              <a:fillRect/>
            </a:stretch>
          </xdr:blipFill>
          <xdr:spPr>
            <a:xfrm>
              <a:off x="684720" y="6902640"/>
              <a:ext cx="18000" cy="18000"/>
            </a:xfrm>
            <a:prstGeom prst="rect">
              <a:avLst/>
            </a:prstGeom>
          </xdr:spPr>
        </xdr:pic>
      </mc:Fallback>
    </mc:AlternateContent>
    <xdr:clientData/>
  </xdr:twoCellAnchor>
  <xdr:twoCellAnchor editAs="oneCell">
    <xdr:from>
      <xdr:col>3</xdr:col>
      <xdr:colOff>449280</xdr:colOff>
      <xdr:row>44</xdr:row>
      <xdr:rowOff>159840</xdr:rowOff>
    </xdr:from>
    <xdr:to>
      <xdr:col>3</xdr:col>
      <xdr:colOff>449640</xdr:colOff>
      <xdr:row>44</xdr:row>
      <xdr:rowOff>160200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
          <xdr14:nvContentPartPr>
            <xdr14:cNvPr id="135" name="Ink 134">
              <a:extLst>
                <a:ext uri="{FF2B5EF4-FFF2-40B4-BE49-F238E27FC236}">
                  <a16:creationId xmlns:a16="http://schemas.microsoft.com/office/drawing/2014/main" id="{ECC9C11C-89E3-44BB-A89C-B93AAC4D1CDA}"/>
                </a:ext>
              </a:extLst>
            </xdr14:cNvPr>
            <xdr14:cNvContentPartPr/>
          </xdr14:nvContentPartPr>
          <xdr14:nvPr macro=""/>
          <xdr14:xfrm>
            <a:off x="2278080" y="8206560"/>
            <a:ext cx="360" cy="360"/>
          </xdr14:xfrm>
        </xdr:contentPart>
      </mc:Choice>
      <mc:Fallback xmlns="">
        <xdr:pic>
          <xdr:nvPicPr>
            <xdr:cNvPr id="135" name="Ink 134">
              <a:extLst>
                <a:ext uri="{FF2B5EF4-FFF2-40B4-BE49-F238E27FC236}">
                  <a16:creationId xmlns:a16="http://schemas.microsoft.com/office/drawing/2014/main" id="{ECC9C11C-89E3-44BB-A89C-B93AAC4D1CDA}"/>
                </a:ext>
              </a:extLst>
            </xdr:cNvPr>
            <xdr:cNvPicPr/>
          </xdr:nvPicPr>
          <xdr:blipFill>
            <a:blip xmlns:r="http://schemas.openxmlformats.org/officeDocument/2006/relationships" r:embed="rId123"/>
            <a:stretch>
              <a:fillRect/>
            </a:stretch>
          </xdr:blipFill>
          <xdr:spPr>
            <a:xfrm>
              <a:off x="2269440" y="8197920"/>
              <a:ext cx="18000" cy="18000"/>
            </a:xfrm>
            <a:prstGeom prst="rect">
              <a:avLst/>
            </a:prstGeom>
          </xdr:spPr>
        </xdr:pic>
      </mc:Fallback>
    </mc:AlternateContent>
    <xdr:clientData/>
  </xdr:twoCellAnchor>
  <xdr:twoCellAnchor editAs="oneCell">
    <xdr:from>
      <xdr:col>4</xdr:col>
      <xdr:colOff>556080</xdr:colOff>
      <xdr:row>56</xdr:row>
      <xdr:rowOff>106560</xdr:rowOff>
    </xdr:from>
    <xdr:to>
      <xdr:col>4</xdr:col>
      <xdr:colOff>556440</xdr:colOff>
      <xdr:row>56</xdr:row>
      <xdr:rowOff>106920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
          <xdr14:nvContentPartPr>
            <xdr14:cNvPr id="136" name="Ink 135">
              <a:extLst>
                <a:ext uri="{FF2B5EF4-FFF2-40B4-BE49-F238E27FC236}">
                  <a16:creationId xmlns:a16="http://schemas.microsoft.com/office/drawing/2014/main" id="{E849B099-F163-489A-9985-CE98C85FFFA7}"/>
                </a:ext>
              </a:extLst>
            </xdr14:cNvPr>
            <xdr14:cNvContentPartPr/>
          </xdr14:nvContentPartPr>
          <xdr14:nvPr macro=""/>
          <xdr14:xfrm>
            <a:off x="2994480" y="10347840"/>
            <a:ext cx="360" cy="360"/>
          </xdr14:xfrm>
        </xdr:contentPart>
      </mc:Choice>
      <mc:Fallback xmlns="">
        <xdr:pic>
          <xdr:nvPicPr>
            <xdr:cNvPr id="136" name="Ink 135">
              <a:extLst>
                <a:ext uri="{FF2B5EF4-FFF2-40B4-BE49-F238E27FC236}">
                  <a16:creationId xmlns:a16="http://schemas.microsoft.com/office/drawing/2014/main" id="{E849B099-F163-489A-9985-CE98C85FFFA7}"/>
                </a:ext>
              </a:extLst>
            </xdr:cNvPr>
            <xdr:cNvPicPr/>
          </xdr:nvPicPr>
          <xdr:blipFill>
            <a:blip xmlns:r="http://schemas.openxmlformats.org/officeDocument/2006/relationships" r:embed="rId125"/>
            <a:stretch>
              <a:fillRect/>
            </a:stretch>
          </xdr:blipFill>
          <xdr:spPr>
            <a:xfrm>
              <a:off x="2985840" y="10339200"/>
              <a:ext cx="18000" cy="18000"/>
            </a:xfrm>
            <a:prstGeom prst="rect">
              <a:avLst/>
            </a:prstGeom>
          </xdr:spPr>
        </xdr:pic>
      </mc:Fallback>
    </mc:AlternateContent>
    <xdr:clientData/>
  </xdr:twoCellAnchor>
  <xdr:twoCellAnchor editAs="oneCell">
    <xdr:from>
      <xdr:col>0</xdr:col>
      <xdr:colOff>609480</xdr:colOff>
      <xdr:row>56</xdr:row>
      <xdr:rowOff>30240</xdr:rowOff>
    </xdr:from>
    <xdr:to>
      <xdr:col>1</xdr:col>
      <xdr:colOff>240</xdr:colOff>
      <xdr:row>56</xdr:row>
      <xdr:rowOff>30600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
          <xdr14:nvContentPartPr>
            <xdr14:cNvPr id="137" name="Ink 136">
              <a:extLst>
                <a:ext uri="{FF2B5EF4-FFF2-40B4-BE49-F238E27FC236}">
                  <a16:creationId xmlns:a16="http://schemas.microsoft.com/office/drawing/2014/main" id="{C6134530-DC01-4A4B-AAEE-7EF7E0702280}"/>
                </a:ext>
              </a:extLst>
            </xdr14:cNvPr>
            <xdr14:cNvContentPartPr/>
          </xdr14:nvContentPartPr>
          <xdr14:nvPr macro=""/>
          <xdr14:xfrm>
            <a:off x="609480" y="10271520"/>
            <a:ext cx="360" cy="360"/>
          </xdr14:xfrm>
        </xdr:contentPart>
      </mc:Choice>
      <mc:Fallback xmlns="">
        <xdr:pic>
          <xdr:nvPicPr>
            <xdr:cNvPr id="137" name="Ink 136">
              <a:extLst>
                <a:ext uri="{FF2B5EF4-FFF2-40B4-BE49-F238E27FC236}">
                  <a16:creationId xmlns:a16="http://schemas.microsoft.com/office/drawing/2014/main" id="{C6134530-DC01-4A4B-AAEE-7EF7E0702280}"/>
                </a:ext>
              </a:extLst>
            </xdr:cNvPr>
            <xdr:cNvPicPr/>
          </xdr:nvPicPr>
          <xdr:blipFill>
            <a:blip xmlns:r="http://schemas.openxmlformats.org/officeDocument/2006/relationships" r:embed="rId127"/>
            <a:stretch>
              <a:fillRect/>
            </a:stretch>
          </xdr:blipFill>
          <xdr:spPr>
            <a:xfrm>
              <a:off x="600840" y="10262880"/>
              <a:ext cx="18000" cy="18000"/>
            </a:xfrm>
            <a:prstGeom prst="rect">
              <a:avLst/>
            </a:prstGeom>
          </xdr:spPr>
        </xdr:pic>
      </mc:Fallback>
    </mc:AlternateContent>
    <xdr:clientData/>
  </xdr:twoCellAnchor>
  <xdr:twoCellAnchor editAs="oneCell">
    <xdr:from>
      <xdr:col>2</xdr:col>
      <xdr:colOff>121800</xdr:colOff>
      <xdr:row>61</xdr:row>
      <xdr:rowOff>144720</xdr:rowOff>
    </xdr:from>
    <xdr:to>
      <xdr:col>2</xdr:col>
      <xdr:colOff>122160</xdr:colOff>
      <xdr:row>61</xdr:row>
      <xdr:rowOff>145080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
          <xdr14:nvContentPartPr>
            <xdr14:cNvPr id="138" name="Ink 137">
              <a:extLst>
                <a:ext uri="{FF2B5EF4-FFF2-40B4-BE49-F238E27FC236}">
                  <a16:creationId xmlns:a16="http://schemas.microsoft.com/office/drawing/2014/main" id="{469D4258-C7E9-467F-868A-C392FFE6500E}"/>
                </a:ext>
              </a:extLst>
            </xdr14:cNvPr>
            <xdr14:cNvContentPartPr/>
          </xdr14:nvContentPartPr>
          <xdr14:nvPr macro=""/>
          <xdr14:xfrm>
            <a:off x="1341000" y="11300400"/>
            <a:ext cx="360" cy="360"/>
          </xdr14:xfrm>
        </xdr:contentPart>
      </mc:Choice>
      <mc:Fallback xmlns="">
        <xdr:pic>
          <xdr:nvPicPr>
            <xdr:cNvPr id="138" name="Ink 137">
              <a:extLst>
                <a:ext uri="{FF2B5EF4-FFF2-40B4-BE49-F238E27FC236}">
                  <a16:creationId xmlns:a16="http://schemas.microsoft.com/office/drawing/2014/main" id="{469D4258-C7E9-467F-868A-C392FFE6500E}"/>
                </a:ext>
              </a:extLst>
            </xdr:cNvPr>
            <xdr:cNvPicPr/>
          </xdr:nvPicPr>
          <xdr:blipFill>
            <a:blip xmlns:r="http://schemas.openxmlformats.org/officeDocument/2006/relationships" r:embed="rId129"/>
            <a:stretch>
              <a:fillRect/>
            </a:stretch>
          </xdr:blipFill>
          <xdr:spPr>
            <a:xfrm>
              <a:off x="1332360" y="11291760"/>
              <a:ext cx="18000" cy="18000"/>
            </a:xfrm>
            <a:prstGeom prst="rect">
              <a:avLst/>
            </a:prstGeom>
          </xdr:spPr>
        </xdr:pic>
      </mc:Fallback>
    </mc:AlternateContent>
    <xdr:clientData/>
  </xdr:twoCellAnchor>
  <xdr:twoCellAnchor editAs="oneCell">
    <xdr:from>
      <xdr:col>2</xdr:col>
      <xdr:colOff>586560</xdr:colOff>
      <xdr:row>52</xdr:row>
      <xdr:rowOff>7560</xdr:rowOff>
    </xdr:from>
    <xdr:to>
      <xdr:col>2</xdr:col>
      <xdr:colOff>586920</xdr:colOff>
      <xdr:row>52</xdr:row>
      <xdr:rowOff>7920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
          <xdr14:nvContentPartPr>
            <xdr14:cNvPr id="142" name="Ink 141">
              <a:extLst>
                <a:ext uri="{FF2B5EF4-FFF2-40B4-BE49-F238E27FC236}">
                  <a16:creationId xmlns:a16="http://schemas.microsoft.com/office/drawing/2014/main" id="{AA225AC6-60AA-4C80-B87D-F55122C4A422}"/>
                </a:ext>
              </a:extLst>
            </xdr14:cNvPr>
            <xdr14:cNvContentPartPr/>
          </xdr14:nvContentPartPr>
          <xdr14:nvPr macro=""/>
          <xdr14:xfrm>
            <a:off x="1805760" y="9517320"/>
            <a:ext cx="360" cy="360"/>
          </xdr14:xfrm>
        </xdr:contentPart>
      </mc:Choice>
      <mc:Fallback xmlns="">
        <xdr:pic>
          <xdr:nvPicPr>
            <xdr:cNvPr id="142" name="Ink 141">
              <a:extLst>
                <a:ext uri="{FF2B5EF4-FFF2-40B4-BE49-F238E27FC236}">
                  <a16:creationId xmlns:a16="http://schemas.microsoft.com/office/drawing/2014/main" id="{AA225AC6-60AA-4C80-B87D-F55122C4A422}"/>
                </a:ext>
              </a:extLst>
            </xdr:cNvPr>
            <xdr:cNvPicPr/>
          </xdr:nvPicPr>
          <xdr:blipFill>
            <a:blip xmlns:r="http://schemas.openxmlformats.org/officeDocument/2006/relationships" r:embed="rId131"/>
            <a:stretch>
              <a:fillRect/>
            </a:stretch>
          </xdr:blipFill>
          <xdr:spPr>
            <a:xfrm>
              <a:off x="1797120" y="9508680"/>
              <a:ext cx="18000" cy="18000"/>
            </a:xfrm>
            <a:prstGeom prst="rect">
              <a:avLst/>
            </a:prstGeom>
          </xdr:spPr>
        </xdr:pic>
      </mc:Fallback>
    </mc:AlternateContent>
    <xdr:clientData/>
  </xdr:twoCellAnchor>
  <xdr:twoCellAnchor editAs="oneCell">
    <xdr:from>
      <xdr:col>9</xdr:col>
      <xdr:colOff>274320</xdr:colOff>
      <xdr:row>37</xdr:row>
      <xdr:rowOff>75960</xdr:rowOff>
    </xdr:from>
    <xdr:to>
      <xdr:col>9</xdr:col>
      <xdr:colOff>274680</xdr:colOff>
      <xdr:row>37</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
          <xdr14:nvContentPartPr>
            <xdr14:cNvPr id="143" name="Ink 142">
              <a:extLst>
                <a:ext uri="{FF2B5EF4-FFF2-40B4-BE49-F238E27FC236}">
                  <a16:creationId xmlns:a16="http://schemas.microsoft.com/office/drawing/2014/main" id="{9D2EB749-B802-4E67-9C57-CF69AEE0273F}"/>
                </a:ext>
              </a:extLst>
            </xdr14:cNvPr>
            <xdr14:cNvContentPartPr/>
          </xdr14:nvContentPartPr>
          <xdr14:nvPr macro=""/>
          <xdr14:xfrm>
            <a:off x="5760720" y="6842520"/>
            <a:ext cx="360" cy="360"/>
          </xdr14:xfrm>
        </xdr:contentPart>
      </mc:Choice>
      <mc:Fallback xmlns="">
        <xdr:pic>
          <xdr:nvPicPr>
            <xdr:cNvPr id="143" name="Ink 142">
              <a:extLst>
                <a:ext uri="{FF2B5EF4-FFF2-40B4-BE49-F238E27FC236}">
                  <a16:creationId xmlns:a16="http://schemas.microsoft.com/office/drawing/2014/main" id="{9D2EB749-B802-4E67-9C57-CF69AEE0273F}"/>
                </a:ext>
              </a:extLst>
            </xdr:cNvPr>
            <xdr:cNvPicPr/>
          </xdr:nvPicPr>
          <xdr:blipFill>
            <a:blip xmlns:r="http://schemas.openxmlformats.org/officeDocument/2006/relationships" r:embed="rId133"/>
            <a:stretch>
              <a:fillRect/>
            </a:stretch>
          </xdr:blipFill>
          <xdr:spPr>
            <a:xfrm>
              <a:off x="5752080" y="6833880"/>
              <a:ext cx="18000" cy="18000"/>
            </a:xfrm>
            <a:prstGeom prst="rect">
              <a:avLst/>
            </a:prstGeom>
          </xdr:spPr>
        </xdr:pic>
      </mc:Fallback>
    </mc:AlternateContent>
    <xdr:clientData/>
  </xdr:twoCellAnchor>
  <xdr:twoCellAnchor editAs="oneCell">
    <xdr:from>
      <xdr:col>12</xdr:col>
      <xdr:colOff>266400</xdr:colOff>
      <xdr:row>48</xdr:row>
      <xdr:rowOff>45720</xdr:rowOff>
    </xdr:from>
    <xdr:to>
      <xdr:col>12</xdr:col>
      <xdr:colOff>266760</xdr:colOff>
      <xdr:row>48</xdr:row>
      <xdr:rowOff>46080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
          <xdr14:nvContentPartPr>
            <xdr14:cNvPr id="144" name="Ink 143">
              <a:extLst>
                <a:ext uri="{FF2B5EF4-FFF2-40B4-BE49-F238E27FC236}">
                  <a16:creationId xmlns:a16="http://schemas.microsoft.com/office/drawing/2014/main" id="{2DF3C9C4-876B-4701-A40E-776D5D68D673}"/>
                </a:ext>
              </a:extLst>
            </xdr14:cNvPr>
            <xdr14:cNvContentPartPr/>
          </xdr14:nvContentPartPr>
          <xdr14:nvPr macro=""/>
          <xdr14:xfrm>
            <a:off x="7581600" y="8823960"/>
            <a:ext cx="360" cy="360"/>
          </xdr14:xfrm>
        </xdr:contentPart>
      </mc:Choice>
      <mc:Fallback xmlns="">
        <xdr:pic>
          <xdr:nvPicPr>
            <xdr:cNvPr id="144" name="Ink 143">
              <a:extLst>
                <a:ext uri="{FF2B5EF4-FFF2-40B4-BE49-F238E27FC236}">
                  <a16:creationId xmlns:a16="http://schemas.microsoft.com/office/drawing/2014/main" id="{2DF3C9C4-876B-4701-A40E-776D5D68D673}"/>
                </a:ext>
              </a:extLst>
            </xdr:cNvPr>
            <xdr:cNvPicPr/>
          </xdr:nvPicPr>
          <xdr:blipFill>
            <a:blip xmlns:r="http://schemas.openxmlformats.org/officeDocument/2006/relationships" r:embed="rId135"/>
            <a:stretch>
              <a:fillRect/>
            </a:stretch>
          </xdr:blipFill>
          <xdr:spPr>
            <a:xfrm>
              <a:off x="7572960" y="8815320"/>
              <a:ext cx="18000" cy="18000"/>
            </a:xfrm>
            <a:prstGeom prst="rect">
              <a:avLst/>
            </a:prstGeom>
          </xdr:spPr>
        </xdr:pic>
      </mc:Fallback>
    </mc:AlternateContent>
    <xdr:clientData/>
  </xdr:twoCellAnchor>
  <xdr:twoCellAnchor editAs="oneCell">
    <xdr:from>
      <xdr:col>10</xdr:col>
      <xdr:colOff>548520</xdr:colOff>
      <xdr:row>55</xdr:row>
      <xdr:rowOff>0</xdr:rowOff>
    </xdr:from>
    <xdr:to>
      <xdr:col>10</xdr:col>
      <xdr:colOff>548880</xdr:colOff>
      <xdr:row>55</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
          <xdr14:nvContentPartPr>
            <xdr14:cNvPr id="145" name="Ink 144">
              <a:extLst>
                <a:ext uri="{FF2B5EF4-FFF2-40B4-BE49-F238E27FC236}">
                  <a16:creationId xmlns:a16="http://schemas.microsoft.com/office/drawing/2014/main" id="{935D4B34-A0C9-408B-8B7D-5F8ED37DF92B}"/>
                </a:ext>
              </a:extLst>
            </xdr14:cNvPr>
            <xdr14:cNvContentPartPr/>
          </xdr14:nvContentPartPr>
          <xdr14:nvPr macro=""/>
          <xdr14:xfrm>
            <a:off x="6644520" y="10058400"/>
            <a:ext cx="360" cy="360"/>
          </xdr14:xfrm>
        </xdr:contentPart>
      </mc:Choice>
      <mc:Fallback xmlns="">
        <xdr:pic>
          <xdr:nvPicPr>
            <xdr:cNvPr id="145" name="Ink 144">
              <a:extLst>
                <a:ext uri="{FF2B5EF4-FFF2-40B4-BE49-F238E27FC236}">
                  <a16:creationId xmlns:a16="http://schemas.microsoft.com/office/drawing/2014/main" id="{935D4B34-A0C9-408B-8B7D-5F8ED37DF92B}"/>
                </a:ext>
              </a:extLst>
            </xdr:cNvPr>
            <xdr:cNvPicPr/>
          </xdr:nvPicPr>
          <xdr:blipFill>
            <a:blip xmlns:r="http://schemas.openxmlformats.org/officeDocument/2006/relationships" r:embed="rId137"/>
            <a:stretch>
              <a:fillRect/>
            </a:stretch>
          </xdr:blipFill>
          <xdr:spPr>
            <a:xfrm>
              <a:off x="6635880" y="10049760"/>
              <a:ext cx="18000" cy="18000"/>
            </a:xfrm>
            <a:prstGeom prst="rect">
              <a:avLst/>
            </a:prstGeom>
          </xdr:spPr>
        </xdr:pic>
      </mc:Fallback>
    </mc:AlternateContent>
    <xdr:clientData/>
  </xdr:twoCellAnchor>
  <xdr:twoCellAnchor editAs="oneCell">
    <xdr:from>
      <xdr:col>8</xdr:col>
      <xdr:colOff>472440</xdr:colOff>
      <xdr:row>62</xdr:row>
      <xdr:rowOff>75960</xdr:rowOff>
    </xdr:from>
    <xdr:to>
      <xdr:col>8</xdr:col>
      <xdr:colOff>472800</xdr:colOff>
      <xdr:row>62</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
          <xdr14:nvContentPartPr>
            <xdr14:cNvPr id="146" name="Ink 145">
              <a:extLst>
                <a:ext uri="{FF2B5EF4-FFF2-40B4-BE49-F238E27FC236}">
                  <a16:creationId xmlns:a16="http://schemas.microsoft.com/office/drawing/2014/main" id="{D351D647-3FB7-4E02-9962-4761BF118D61}"/>
                </a:ext>
              </a:extLst>
            </xdr14:cNvPr>
            <xdr14:cNvContentPartPr/>
          </xdr14:nvContentPartPr>
          <xdr14:nvPr macro=""/>
          <xdr14:xfrm>
            <a:off x="5349240" y="11414520"/>
            <a:ext cx="360" cy="360"/>
          </xdr14:xfrm>
        </xdr:contentPart>
      </mc:Choice>
      <mc:Fallback xmlns="">
        <xdr:pic>
          <xdr:nvPicPr>
            <xdr:cNvPr id="146" name="Ink 145">
              <a:extLst>
                <a:ext uri="{FF2B5EF4-FFF2-40B4-BE49-F238E27FC236}">
                  <a16:creationId xmlns:a16="http://schemas.microsoft.com/office/drawing/2014/main" id="{D351D647-3FB7-4E02-9962-4761BF118D61}"/>
                </a:ext>
              </a:extLst>
            </xdr:cNvPr>
            <xdr:cNvPicPr/>
          </xdr:nvPicPr>
          <xdr:blipFill>
            <a:blip xmlns:r="http://schemas.openxmlformats.org/officeDocument/2006/relationships" r:embed="rId139"/>
            <a:stretch>
              <a:fillRect/>
            </a:stretch>
          </xdr:blipFill>
          <xdr:spPr>
            <a:xfrm>
              <a:off x="5340600" y="11405880"/>
              <a:ext cx="18000" cy="18000"/>
            </a:xfrm>
            <a:prstGeom prst="rect">
              <a:avLst/>
            </a:prstGeom>
          </xdr:spPr>
        </xdr:pic>
      </mc:Fallback>
    </mc:AlternateContent>
    <xdr:clientData/>
  </xdr:twoCellAnchor>
  <xdr:twoCellAnchor editAs="oneCell">
    <xdr:from>
      <xdr:col>20</xdr:col>
      <xdr:colOff>190200</xdr:colOff>
      <xdr:row>50</xdr:row>
      <xdr:rowOff>68400</xdr:rowOff>
    </xdr:from>
    <xdr:to>
      <xdr:col>20</xdr:col>
      <xdr:colOff>190560</xdr:colOff>
      <xdr:row>50</xdr:row>
      <xdr:rowOff>68760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
          <xdr14:nvContentPartPr>
            <xdr14:cNvPr id="147" name="Ink 146">
              <a:extLst>
                <a:ext uri="{FF2B5EF4-FFF2-40B4-BE49-F238E27FC236}">
                  <a16:creationId xmlns:a16="http://schemas.microsoft.com/office/drawing/2014/main" id="{557491C8-862C-4D36-8139-D34AFD35E03A}"/>
                </a:ext>
              </a:extLst>
            </xdr14:cNvPr>
            <xdr14:cNvContentPartPr/>
          </xdr14:nvContentPartPr>
          <xdr14:nvPr macro=""/>
          <xdr14:xfrm>
            <a:off x="12382200" y="9212400"/>
            <a:ext cx="360" cy="360"/>
          </xdr14:xfrm>
        </xdr:contentPart>
      </mc:Choice>
      <mc:Fallback xmlns="">
        <xdr:pic>
          <xdr:nvPicPr>
            <xdr:cNvPr id="147" name="Ink 146">
              <a:extLst>
                <a:ext uri="{FF2B5EF4-FFF2-40B4-BE49-F238E27FC236}">
                  <a16:creationId xmlns:a16="http://schemas.microsoft.com/office/drawing/2014/main" id="{557491C8-862C-4D36-8139-D34AFD35E03A}"/>
                </a:ext>
              </a:extLst>
            </xdr:cNvPr>
            <xdr:cNvPicPr/>
          </xdr:nvPicPr>
          <xdr:blipFill>
            <a:blip xmlns:r="http://schemas.openxmlformats.org/officeDocument/2006/relationships" r:embed="rId141"/>
            <a:stretch>
              <a:fillRect/>
            </a:stretch>
          </xdr:blipFill>
          <xdr:spPr>
            <a:xfrm>
              <a:off x="12373560" y="9203760"/>
              <a:ext cx="18000" cy="18000"/>
            </a:xfrm>
            <a:prstGeom prst="rect">
              <a:avLst/>
            </a:prstGeom>
          </xdr:spPr>
        </xdr:pic>
      </mc:Fallback>
    </mc:AlternateContent>
    <xdr:clientData/>
  </xdr:twoCellAnchor>
  <xdr:twoCellAnchor editAs="oneCell">
    <xdr:from>
      <xdr:col>19</xdr:col>
      <xdr:colOff>449520</xdr:colOff>
      <xdr:row>43</xdr:row>
      <xdr:rowOff>144720</xdr:rowOff>
    </xdr:from>
    <xdr:to>
      <xdr:col>19</xdr:col>
      <xdr:colOff>449880</xdr:colOff>
      <xdr:row>43</xdr:row>
      <xdr:rowOff>145080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
          <xdr14:nvContentPartPr>
            <xdr14:cNvPr id="150" name="Ink 149">
              <a:extLst>
                <a:ext uri="{FF2B5EF4-FFF2-40B4-BE49-F238E27FC236}">
                  <a16:creationId xmlns:a16="http://schemas.microsoft.com/office/drawing/2014/main" id="{966E1B77-6C52-4EF6-AEA5-8B43B8C89EA5}"/>
                </a:ext>
              </a:extLst>
            </xdr14:cNvPr>
            <xdr14:cNvContentPartPr/>
          </xdr14:nvContentPartPr>
          <xdr14:nvPr macro=""/>
          <xdr14:xfrm>
            <a:off x="12031920" y="8008560"/>
            <a:ext cx="360" cy="360"/>
          </xdr14:xfrm>
        </xdr:contentPart>
      </mc:Choice>
      <mc:Fallback xmlns="">
        <xdr:pic>
          <xdr:nvPicPr>
            <xdr:cNvPr id="150" name="Ink 149">
              <a:extLst>
                <a:ext uri="{FF2B5EF4-FFF2-40B4-BE49-F238E27FC236}">
                  <a16:creationId xmlns:a16="http://schemas.microsoft.com/office/drawing/2014/main" id="{966E1B77-6C52-4EF6-AEA5-8B43B8C89EA5}"/>
                </a:ext>
              </a:extLst>
            </xdr:cNvPr>
            <xdr:cNvPicPr/>
          </xdr:nvPicPr>
          <xdr:blipFill>
            <a:blip xmlns:r="http://schemas.openxmlformats.org/officeDocument/2006/relationships" r:embed="rId143"/>
            <a:stretch>
              <a:fillRect/>
            </a:stretch>
          </xdr:blipFill>
          <xdr:spPr>
            <a:xfrm>
              <a:off x="12023280" y="7999920"/>
              <a:ext cx="18000" cy="18000"/>
            </a:xfrm>
            <a:prstGeom prst="rect">
              <a:avLst/>
            </a:prstGeom>
          </xdr:spPr>
        </xdr:pic>
      </mc:Fallback>
    </mc:AlternateContent>
    <xdr:clientData/>
  </xdr:twoCellAnchor>
  <xdr:twoCellAnchor editAs="oneCell">
    <xdr:from>
      <xdr:col>15</xdr:col>
      <xdr:colOff>99000</xdr:colOff>
      <xdr:row>51</xdr:row>
      <xdr:rowOff>114120</xdr:rowOff>
    </xdr:from>
    <xdr:to>
      <xdr:col>15</xdr:col>
      <xdr:colOff>99360</xdr:colOff>
      <xdr:row>51</xdr:row>
      <xdr:rowOff>114480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
          <xdr14:nvContentPartPr>
            <xdr14:cNvPr id="151" name="Ink 150">
              <a:extLst>
                <a:ext uri="{FF2B5EF4-FFF2-40B4-BE49-F238E27FC236}">
                  <a16:creationId xmlns:a16="http://schemas.microsoft.com/office/drawing/2014/main" id="{6B91C09A-9B56-4BC1-BFB0-34D023C51B72}"/>
                </a:ext>
              </a:extLst>
            </xdr14:cNvPr>
            <xdr14:cNvContentPartPr/>
          </xdr14:nvContentPartPr>
          <xdr14:nvPr macro=""/>
          <xdr14:xfrm>
            <a:off x="9243000" y="9441000"/>
            <a:ext cx="360" cy="360"/>
          </xdr14:xfrm>
        </xdr:contentPart>
      </mc:Choice>
      <mc:Fallback xmlns="">
        <xdr:pic>
          <xdr:nvPicPr>
            <xdr:cNvPr id="151" name="Ink 150">
              <a:extLst>
                <a:ext uri="{FF2B5EF4-FFF2-40B4-BE49-F238E27FC236}">
                  <a16:creationId xmlns:a16="http://schemas.microsoft.com/office/drawing/2014/main" id="{6B91C09A-9B56-4BC1-BFB0-34D023C51B72}"/>
                </a:ext>
              </a:extLst>
            </xdr:cNvPr>
            <xdr:cNvPicPr/>
          </xdr:nvPicPr>
          <xdr:blipFill>
            <a:blip xmlns:r="http://schemas.openxmlformats.org/officeDocument/2006/relationships" r:embed="rId145"/>
            <a:stretch>
              <a:fillRect/>
            </a:stretch>
          </xdr:blipFill>
          <xdr:spPr>
            <a:xfrm>
              <a:off x="9234360" y="9432360"/>
              <a:ext cx="18000" cy="18000"/>
            </a:xfrm>
            <a:prstGeom prst="rect">
              <a:avLst/>
            </a:prstGeom>
          </xdr:spPr>
        </xdr:pic>
      </mc:Fallback>
    </mc:AlternateContent>
    <xdr:clientData/>
  </xdr:twoCellAnchor>
  <xdr:twoCellAnchor editAs="oneCell">
    <xdr:from>
      <xdr:col>19</xdr:col>
      <xdr:colOff>106440</xdr:colOff>
      <xdr:row>56</xdr:row>
      <xdr:rowOff>75960</xdr:rowOff>
    </xdr:from>
    <xdr:to>
      <xdr:col>19</xdr:col>
      <xdr:colOff>106800</xdr:colOff>
      <xdr:row>56</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
          <xdr14:nvContentPartPr>
            <xdr14:cNvPr id="152" name="Ink 151">
              <a:extLst>
                <a:ext uri="{FF2B5EF4-FFF2-40B4-BE49-F238E27FC236}">
                  <a16:creationId xmlns:a16="http://schemas.microsoft.com/office/drawing/2014/main" id="{1297D132-578A-4ADC-8B0D-939C2021FF7A}"/>
                </a:ext>
              </a:extLst>
            </xdr14:cNvPr>
            <xdr14:cNvContentPartPr/>
          </xdr14:nvContentPartPr>
          <xdr14:nvPr macro=""/>
          <xdr14:xfrm>
            <a:off x="11688840" y="10317240"/>
            <a:ext cx="360" cy="360"/>
          </xdr14:xfrm>
        </xdr:contentPart>
      </mc:Choice>
      <mc:Fallback xmlns="">
        <xdr:pic>
          <xdr:nvPicPr>
            <xdr:cNvPr id="152" name="Ink 151">
              <a:extLst>
                <a:ext uri="{FF2B5EF4-FFF2-40B4-BE49-F238E27FC236}">
                  <a16:creationId xmlns:a16="http://schemas.microsoft.com/office/drawing/2014/main" id="{1297D132-578A-4ADC-8B0D-939C2021FF7A}"/>
                </a:ext>
              </a:extLst>
            </xdr:cNvPr>
            <xdr:cNvPicPr/>
          </xdr:nvPicPr>
          <xdr:blipFill>
            <a:blip xmlns:r="http://schemas.openxmlformats.org/officeDocument/2006/relationships" r:embed="rId147"/>
            <a:stretch>
              <a:fillRect/>
            </a:stretch>
          </xdr:blipFill>
          <xdr:spPr>
            <a:xfrm>
              <a:off x="11680200" y="10308600"/>
              <a:ext cx="18000" cy="18000"/>
            </a:xfrm>
            <a:prstGeom prst="rect">
              <a:avLst/>
            </a:prstGeom>
          </xdr:spPr>
        </xdr:pic>
      </mc:Fallback>
    </mc:AlternateContent>
    <xdr:clientData/>
  </xdr:twoCellAnchor>
  <xdr:twoCellAnchor editAs="oneCell">
    <xdr:from>
      <xdr:col>22</xdr:col>
      <xdr:colOff>464640</xdr:colOff>
      <xdr:row>60</xdr:row>
      <xdr:rowOff>22680</xdr:rowOff>
    </xdr:from>
    <xdr:to>
      <xdr:col>22</xdr:col>
      <xdr:colOff>465000</xdr:colOff>
      <xdr:row>60</xdr:row>
      <xdr:rowOff>23040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
          <xdr14:nvContentPartPr>
            <xdr14:cNvPr id="153" name="Ink 152">
              <a:extLst>
                <a:ext uri="{FF2B5EF4-FFF2-40B4-BE49-F238E27FC236}">
                  <a16:creationId xmlns:a16="http://schemas.microsoft.com/office/drawing/2014/main" id="{EE903DCE-96F4-459A-B4BC-0B16B57B62B8}"/>
                </a:ext>
              </a:extLst>
            </xdr14:cNvPr>
            <xdr14:cNvContentPartPr/>
          </xdr14:nvContentPartPr>
          <xdr14:nvPr macro=""/>
          <xdr14:xfrm>
            <a:off x="13875840" y="10995480"/>
            <a:ext cx="360" cy="360"/>
          </xdr14:xfrm>
        </xdr:contentPart>
      </mc:Choice>
      <mc:Fallback xmlns="">
        <xdr:pic>
          <xdr:nvPicPr>
            <xdr:cNvPr id="153" name="Ink 152">
              <a:extLst>
                <a:ext uri="{FF2B5EF4-FFF2-40B4-BE49-F238E27FC236}">
                  <a16:creationId xmlns:a16="http://schemas.microsoft.com/office/drawing/2014/main" id="{EE903DCE-96F4-459A-B4BC-0B16B57B62B8}"/>
                </a:ext>
              </a:extLst>
            </xdr:cNvPr>
            <xdr:cNvPicPr/>
          </xdr:nvPicPr>
          <xdr:blipFill>
            <a:blip xmlns:r="http://schemas.openxmlformats.org/officeDocument/2006/relationships" r:embed="rId149"/>
            <a:stretch>
              <a:fillRect/>
            </a:stretch>
          </xdr:blipFill>
          <xdr:spPr>
            <a:xfrm>
              <a:off x="13867200" y="10986840"/>
              <a:ext cx="18000" cy="18000"/>
            </a:xfrm>
            <a:prstGeom prst="rect">
              <a:avLst/>
            </a:prstGeom>
          </xdr:spPr>
        </xdr:pic>
      </mc:Fallback>
    </mc:AlternateContent>
    <xdr:clientData/>
  </xdr:twoCellAnchor>
  <xdr:twoCellAnchor>
    <xdr:from>
      <xdr:col>19</xdr:col>
      <xdr:colOff>587100</xdr:colOff>
      <xdr:row>4</xdr:row>
      <xdr:rowOff>169380</xdr:rowOff>
    </xdr:from>
    <xdr:to>
      <xdr:col>23</xdr:col>
      <xdr:colOff>144840</xdr:colOff>
      <xdr:row>12</xdr:row>
      <xdr:rowOff>114300</xdr:rowOff>
    </xdr:to>
    <xdr:sp macro="" textlink="">
      <xdr:nvSpPr>
        <xdr:cNvPr id="165" name="Rectangle: Rounded Corners 164">
          <a:extLst>
            <a:ext uri="{FF2B5EF4-FFF2-40B4-BE49-F238E27FC236}">
              <a16:creationId xmlns:a16="http://schemas.microsoft.com/office/drawing/2014/main" id="{C66E5561-B23D-4515-824D-5A2F40794A14}"/>
            </a:ext>
          </a:extLst>
        </xdr:cNvPr>
        <xdr:cNvSpPr/>
      </xdr:nvSpPr>
      <xdr:spPr>
        <a:xfrm>
          <a:off x="12169500" y="900900"/>
          <a:ext cx="1996140" cy="1407960"/>
        </a:xfrm>
        <a:prstGeom prst="roundRect">
          <a:avLst/>
        </a:prstGeom>
        <a:ln w="3175">
          <a:solidFill>
            <a:schemeClr val="bg1"/>
          </a:solidFill>
        </a:ln>
        <a:effectLst>
          <a:glow rad="101600">
            <a:schemeClr val="bg1">
              <a:alpha val="15000"/>
            </a:schemeClr>
          </a:glow>
        </a:effectLst>
        <a:scene3d>
          <a:camera prst="orthographicFront"/>
          <a:lightRig rig="threePt" dir="t"/>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579120</xdr:colOff>
      <xdr:row>13</xdr:row>
      <xdr:rowOff>3753</xdr:rowOff>
    </xdr:from>
    <xdr:to>
      <xdr:col>23</xdr:col>
      <xdr:colOff>136860</xdr:colOff>
      <xdr:row>20</xdr:row>
      <xdr:rowOff>91320</xdr:rowOff>
    </xdr:to>
    <xdr:sp macro="" textlink="">
      <xdr:nvSpPr>
        <xdr:cNvPr id="166" name="Rectangle: Rounded Corners 165">
          <a:extLst>
            <a:ext uri="{FF2B5EF4-FFF2-40B4-BE49-F238E27FC236}">
              <a16:creationId xmlns:a16="http://schemas.microsoft.com/office/drawing/2014/main" id="{D2E6CB62-4DB4-4C51-ABED-7C9A24E302C0}"/>
            </a:ext>
          </a:extLst>
        </xdr:cNvPr>
        <xdr:cNvSpPr/>
      </xdr:nvSpPr>
      <xdr:spPr>
        <a:xfrm>
          <a:off x="12161520" y="2381193"/>
          <a:ext cx="1996140" cy="1367727"/>
        </a:xfrm>
        <a:prstGeom prst="roundRect">
          <a:avLst/>
        </a:prstGeom>
        <a:ln w="3175">
          <a:solidFill>
            <a:schemeClr val="bg1"/>
          </a:solidFill>
        </a:ln>
        <a:effectLst>
          <a:glow rad="101600">
            <a:schemeClr val="bg1">
              <a:alpha val="15000"/>
            </a:schemeClr>
          </a:glow>
        </a:effectLst>
        <a:scene3d>
          <a:camera prst="orthographicFront"/>
          <a:lightRig rig="threePt" dir="t"/>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564240</xdr:colOff>
      <xdr:row>20</xdr:row>
      <xdr:rowOff>171033</xdr:rowOff>
    </xdr:from>
    <xdr:to>
      <xdr:col>23</xdr:col>
      <xdr:colOff>121980</xdr:colOff>
      <xdr:row>26</xdr:row>
      <xdr:rowOff>114300</xdr:rowOff>
    </xdr:to>
    <xdr:sp macro="" textlink="">
      <xdr:nvSpPr>
        <xdr:cNvPr id="167" name="Rectangle: Rounded Corners 166">
          <a:extLst>
            <a:ext uri="{FF2B5EF4-FFF2-40B4-BE49-F238E27FC236}">
              <a16:creationId xmlns:a16="http://schemas.microsoft.com/office/drawing/2014/main" id="{156D28BB-B8DB-4B78-8BC9-17EE0ACAB5CB}"/>
            </a:ext>
          </a:extLst>
        </xdr:cNvPr>
        <xdr:cNvSpPr/>
      </xdr:nvSpPr>
      <xdr:spPr>
        <a:xfrm>
          <a:off x="12146640" y="3828633"/>
          <a:ext cx="1996140" cy="1040547"/>
        </a:xfrm>
        <a:prstGeom prst="roundRect">
          <a:avLst/>
        </a:prstGeom>
        <a:ln w="3175">
          <a:solidFill>
            <a:schemeClr val="bg1"/>
          </a:solidFill>
        </a:ln>
        <a:effectLst>
          <a:glow rad="101600">
            <a:schemeClr val="bg1">
              <a:alpha val="15000"/>
            </a:schemeClr>
          </a:glow>
        </a:effectLst>
        <a:scene3d>
          <a:camera prst="orthographicFront"/>
          <a:lightRig rig="threePt" dir="t"/>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571500</xdr:colOff>
      <xdr:row>27</xdr:row>
      <xdr:rowOff>11193</xdr:rowOff>
    </xdr:from>
    <xdr:to>
      <xdr:col>23</xdr:col>
      <xdr:colOff>129240</xdr:colOff>
      <xdr:row>36</xdr:row>
      <xdr:rowOff>38100</xdr:rowOff>
    </xdr:to>
    <xdr:sp macro="" textlink="">
      <xdr:nvSpPr>
        <xdr:cNvPr id="168" name="Rectangle: Rounded Corners 167">
          <a:extLst>
            <a:ext uri="{FF2B5EF4-FFF2-40B4-BE49-F238E27FC236}">
              <a16:creationId xmlns:a16="http://schemas.microsoft.com/office/drawing/2014/main" id="{5215BE49-A3BF-46E8-B969-0A7AAFBD7406}"/>
            </a:ext>
          </a:extLst>
        </xdr:cNvPr>
        <xdr:cNvSpPr/>
      </xdr:nvSpPr>
      <xdr:spPr>
        <a:xfrm>
          <a:off x="12153900" y="4948953"/>
          <a:ext cx="1996140" cy="1672827"/>
        </a:xfrm>
        <a:prstGeom prst="roundRect">
          <a:avLst/>
        </a:prstGeom>
        <a:ln w="3175">
          <a:solidFill>
            <a:schemeClr val="bg1"/>
          </a:solidFill>
        </a:ln>
        <a:effectLst>
          <a:glow rad="101600">
            <a:schemeClr val="bg1">
              <a:alpha val="15000"/>
            </a:schemeClr>
          </a:glow>
        </a:effectLst>
        <a:scene3d>
          <a:camera prst="orthographicFront"/>
          <a:lightRig rig="threePt" dir="t"/>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68280</xdr:colOff>
      <xdr:row>5</xdr:row>
      <xdr:rowOff>116304</xdr:rowOff>
    </xdr:from>
    <xdr:to>
      <xdr:col>23</xdr:col>
      <xdr:colOff>68280</xdr:colOff>
      <xdr:row>12</xdr:row>
      <xdr:rowOff>30240</xdr:rowOff>
    </xdr:to>
    <mc:AlternateContent xmlns:mc="http://schemas.openxmlformats.org/markup-compatibility/2006" xmlns:a14="http://schemas.microsoft.com/office/drawing/2010/main">
      <mc:Choice Requires="a14">
        <xdr:graphicFrame macro="">
          <xdr:nvGraphicFramePr>
            <xdr:cNvPr id="171" name="Country 1">
              <a:extLst>
                <a:ext uri="{FF2B5EF4-FFF2-40B4-BE49-F238E27FC236}">
                  <a16:creationId xmlns:a16="http://schemas.microsoft.com/office/drawing/2014/main" id="{507CF096-0AEF-423E-9E71-A98D42F108D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260280" y="1030704"/>
              <a:ext cx="1828800" cy="1194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61260</xdr:colOff>
      <xdr:row>13</xdr:row>
      <xdr:rowOff>97857</xdr:rowOff>
    </xdr:from>
    <xdr:to>
      <xdr:col>23</xdr:col>
      <xdr:colOff>61260</xdr:colOff>
      <xdr:row>20</xdr:row>
      <xdr:rowOff>15540</xdr:rowOff>
    </xdr:to>
    <mc:AlternateContent xmlns:mc="http://schemas.openxmlformats.org/markup-compatibility/2006" xmlns:a14="http://schemas.microsoft.com/office/drawing/2010/main">
      <mc:Choice Requires="a14">
        <xdr:graphicFrame macro="">
          <xdr:nvGraphicFramePr>
            <xdr:cNvPr id="172" name="Mission_Type 1">
              <a:extLst>
                <a:ext uri="{FF2B5EF4-FFF2-40B4-BE49-F238E27FC236}">
                  <a16:creationId xmlns:a16="http://schemas.microsoft.com/office/drawing/2014/main" id="{95C5E734-5BCF-4495-BC33-4393FC30637C}"/>
                </a:ext>
              </a:extLst>
            </xdr:cNvPr>
            <xdr:cNvGraphicFramePr/>
          </xdr:nvGraphicFramePr>
          <xdr:xfrm>
            <a:off x="0" y="0"/>
            <a:ext cx="0" cy="0"/>
          </xdr:xfrm>
          <a:graphic>
            <a:graphicData uri="http://schemas.microsoft.com/office/drawing/2010/slicer">
              <sle:slicer xmlns:sle="http://schemas.microsoft.com/office/drawing/2010/slicer" name="Mission_Type 1"/>
            </a:graphicData>
          </a:graphic>
        </xdr:graphicFrame>
      </mc:Choice>
      <mc:Fallback xmlns="">
        <xdr:sp macro="" textlink="">
          <xdr:nvSpPr>
            <xdr:cNvPr id="0" name=""/>
            <xdr:cNvSpPr>
              <a:spLocks noTextEdit="1"/>
            </xdr:cNvSpPr>
          </xdr:nvSpPr>
          <xdr:spPr>
            <a:xfrm>
              <a:off x="12253260" y="2475297"/>
              <a:ext cx="1828800" cy="1197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xdr:colOff>
      <xdr:row>21</xdr:row>
      <xdr:rowOff>53460</xdr:rowOff>
    </xdr:from>
    <xdr:to>
      <xdr:col>23</xdr:col>
      <xdr:colOff>53340</xdr:colOff>
      <xdr:row>26</xdr:row>
      <xdr:rowOff>83760</xdr:rowOff>
    </xdr:to>
    <mc:AlternateContent xmlns:mc="http://schemas.openxmlformats.org/markup-compatibility/2006" xmlns:a14="http://schemas.microsoft.com/office/drawing/2010/main">
      <mc:Choice Requires="a14">
        <xdr:graphicFrame macro="">
          <xdr:nvGraphicFramePr>
            <xdr:cNvPr id="174" name="Launch_Status">
              <a:extLst>
                <a:ext uri="{FF2B5EF4-FFF2-40B4-BE49-F238E27FC236}">
                  <a16:creationId xmlns:a16="http://schemas.microsoft.com/office/drawing/2014/main" id="{5139A2C0-4A34-4876-A12D-8A00B9F741C4}"/>
                </a:ext>
              </a:extLst>
            </xdr:cNvPr>
            <xdr:cNvGraphicFramePr/>
          </xdr:nvGraphicFramePr>
          <xdr:xfrm>
            <a:off x="0" y="0"/>
            <a:ext cx="0" cy="0"/>
          </xdr:xfrm>
          <a:graphic>
            <a:graphicData uri="http://schemas.microsoft.com/office/drawing/2010/slicer">
              <sle:slicer xmlns:sle="http://schemas.microsoft.com/office/drawing/2010/slicer" name="Launch_Status"/>
            </a:graphicData>
          </a:graphic>
        </xdr:graphicFrame>
      </mc:Choice>
      <mc:Fallback xmlns="">
        <xdr:sp macro="" textlink="">
          <xdr:nvSpPr>
            <xdr:cNvPr id="0" name=""/>
            <xdr:cNvSpPr>
              <a:spLocks noTextEdit="1"/>
            </xdr:cNvSpPr>
          </xdr:nvSpPr>
          <xdr:spPr>
            <a:xfrm>
              <a:off x="12245340" y="3893940"/>
              <a:ext cx="1828800" cy="94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68580</xdr:colOff>
      <xdr:row>27</xdr:row>
      <xdr:rowOff>155972</xdr:rowOff>
    </xdr:from>
    <xdr:to>
      <xdr:col>23</xdr:col>
      <xdr:colOff>68580</xdr:colOff>
      <xdr:row>35</xdr:row>
      <xdr:rowOff>137160</xdr:rowOff>
    </xdr:to>
    <mc:AlternateContent xmlns:mc="http://schemas.openxmlformats.org/markup-compatibility/2006" xmlns:a14="http://schemas.microsoft.com/office/drawing/2010/main">
      <mc:Choice Requires="a14">
        <xdr:graphicFrame macro="">
          <xdr:nvGraphicFramePr>
            <xdr:cNvPr id="139" name="Agency 1">
              <a:extLst>
                <a:ext uri="{FF2B5EF4-FFF2-40B4-BE49-F238E27FC236}">
                  <a16:creationId xmlns:a16="http://schemas.microsoft.com/office/drawing/2014/main" id="{FE3A0C0A-9841-4886-BA5D-80FFCF4AC4C1}"/>
                </a:ext>
              </a:extLst>
            </xdr:cNvPr>
            <xdr:cNvGraphicFramePr/>
          </xdr:nvGraphicFramePr>
          <xdr:xfrm>
            <a:off x="0" y="0"/>
            <a:ext cx="0" cy="0"/>
          </xdr:xfrm>
          <a:graphic>
            <a:graphicData uri="http://schemas.microsoft.com/office/drawing/2010/slicer">
              <sle:slicer xmlns:sle="http://schemas.microsoft.com/office/drawing/2010/slicer" name="Agency 1"/>
            </a:graphicData>
          </a:graphic>
        </xdr:graphicFrame>
      </mc:Choice>
      <mc:Fallback xmlns="">
        <xdr:sp macro="" textlink="">
          <xdr:nvSpPr>
            <xdr:cNvPr id="0" name=""/>
            <xdr:cNvSpPr>
              <a:spLocks noTextEdit="1"/>
            </xdr:cNvSpPr>
          </xdr:nvSpPr>
          <xdr:spPr>
            <a:xfrm>
              <a:off x="12260580" y="5093732"/>
              <a:ext cx="1828800" cy="1444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205560</xdr:colOff>
      <xdr:row>2</xdr:row>
      <xdr:rowOff>7560</xdr:rowOff>
    </xdr:from>
    <xdr:to>
      <xdr:col>0</xdr:col>
      <xdr:colOff>205920</xdr:colOff>
      <xdr:row>2</xdr:row>
      <xdr:rowOff>7920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
          <xdr14:nvContentPartPr>
            <xdr14:cNvPr id="23" name="Ink 22">
              <a:extLst>
                <a:ext uri="{FF2B5EF4-FFF2-40B4-BE49-F238E27FC236}">
                  <a16:creationId xmlns:a16="http://schemas.microsoft.com/office/drawing/2014/main" id="{238B6F95-CE1C-4BA8-BB7C-CAA7685B3327}"/>
                </a:ext>
              </a:extLst>
            </xdr14:cNvPr>
            <xdr14:cNvContentPartPr/>
          </xdr14:nvContentPartPr>
          <xdr14:nvPr macro=""/>
          <xdr14:xfrm>
            <a:off x="205560" y="373320"/>
            <a:ext cx="360" cy="360"/>
          </xdr14:xfrm>
        </xdr:contentPart>
      </mc:Choice>
      <mc:Fallback xmlns="">
        <xdr:pic>
          <xdr:nvPicPr>
            <xdr:cNvPr id="23" name="Ink 22">
              <a:extLst>
                <a:ext uri="{FF2B5EF4-FFF2-40B4-BE49-F238E27FC236}">
                  <a16:creationId xmlns:a16="http://schemas.microsoft.com/office/drawing/2014/main" id="{238B6F95-CE1C-4BA8-BB7C-CAA7685B3327}"/>
                </a:ext>
              </a:extLst>
            </xdr:cNvPr>
            <xdr:cNvPicPr/>
          </xdr:nvPicPr>
          <xdr:blipFill>
            <a:blip xmlns:r="http://schemas.openxmlformats.org/officeDocument/2006/relationships" r:embed="rId151"/>
            <a:stretch>
              <a:fillRect/>
            </a:stretch>
          </xdr:blipFill>
          <xdr:spPr>
            <a:xfrm>
              <a:off x="196920" y="364680"/>
              <a:ext cx="18000" cy="18000"/>
            </a:xfrm>
            <a:prstGeom prst="rect">
              <a:avLst/>
            </a:prstGeom>
          </xdr:spPr>
        </xdr:pic>
      </mc:Fallback>
    </mc:AlternateContent>
    <xdr:clientData/>
  </xdr:twoCellAnchor>
  <xdr:twoCellAnchor editAs="oneCell">
    <xdr:from>
      <xdr:col>1</xdr:col>
      <xdr:colOff>182760</xdr:colOff>
      <xdr:row>0</xdr:row>
      <xdr:rowOff>152280</xdr:rowOff>
    </xdr:from>
    <xdr:to>
      <xdr:col>1</xdr:col>
      <xdr:colOff>183120</xdr:colOff>
      <xdr:row>0</xdr:row>
      <xdr:rowOff>152640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
          <xdr14:nvContentPartPr>
            <xdr14:cNvPr id="41" name="Ink 40">
              <a:extLst>
                <a:ext uri="{FF2B5EF4-FFF2-40B4-BE49-F238E27FC236}">
                  <a16:creationId xmlns:a16="http://schemas.microsoft.com/office/drawing/2014/main" id="{CCDF9256-6AC5-49AD-A980-E15AA71EA3CA}"/>
                </a:ext>
              </a:extLst>
            </xdr14:cNvPr>
            <xdr14:cNvContentPartPr/>
          </xdr14:nvContentPartPr>
          <xdr14:nvPr macro=""/>
          <xdr14:xfrm>
            <a:off x="792360" y="152280"/>
            <a:ext cx="360" cy="360"/>
          </xdr14:xfrm>
        </xdr:contentPart>
      </mc:Choice>
      <mc:Fallback xmlns="">
        <xdr:pic>
          <xdr:nvPicPr>
            <xdr:cNvPr id="41" name="Ink 40">
              <a:extLst>
                <a:ext uri="{FF2B5EF4-FFF2-40B4-BE49-F238E27FC236}">
                  <a16:creationId xmlns:a16="http://schemas.microsoft.com/office/drawing/2014/main" id="{CCDF9256-6AC5-49AD-A980-E15AA71EA3CA}"/>
                </a:ext>
              </a:extLst>
            </xdr:cNvPr>
            <xdr:cNvPicPr/>
          </xdr:nvPicPr>
          <xdr:blipFill>
            <a:blip xmlns:r="http://schemas.openxmlformats.org/officeDocument/2006/relationships" r:embed="rId153"/>
            <a:stretch>
              <a:fillRect/>
            </a:stretch>
          </xdr:blipFill>
          <xdr:spPr>
            <a:xfrm>
              <a:off x="783720" y="143640"/>
              <a:ext cx="18000" cy="18000"/>
            </a:xfrm>
            <a:prstGeom prst="rect">
              <a:avLst/>
            </a:prstGeom>
          </xdr:spPr>
        </xdr:pic>
      </mc:Fallback>
    </mc:AlternateContent>
    <xdr:clientData/>
  </xdr:twoCellAnchor>
  <xdr:twoCellAnchor editAs="oneCell">
    <xdr:from>
      <xdr:col>3</xdr:col>
      <xdr:colOff>388440</xdr:colOff>
      <xdr:row>3</xdr:row>
      <xdr:rowOff>136800</xdr:rowOff>
    </xdr:from>
    <xdr:to>
      <xdr:col>3</xdr:col>
      <xdr:colOff>388800</xdr:colOff>
      <xdr:row>3</xdr:row>
      <xdr:rowOff>137160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
          <xdr14:nvContentPartPr>
            <xdr14:cNvPr id="42" name="Ink 41">
              <a:extLst>
                <a:ext uri="{FF2B5EF4-FFF2-40B4-BE49-F238E27FC236}">
                  <a16:creationId xmlns:a16="http://schemas.microsoft.com/office/drawing/2014/main" id="{180CB097-F137-4E83-94F1-0FDB6F171FBD}"/>
                </a:ext>
              </a:extLst>
            </xdr14:cNvPr>
            <xdr14:cNvContentPartPr/>
          </xdr14:nvContentPartPr>
          <xdr14:nvPr macro=""/>
          <xdr14:xfrm>
            <a:off x="2217240" y="685440"/>
            <a:ext cx="360" cy="360"/>
          </xdr14:xfrm>
        </xdr:contentPart>
      </mc:Choice>
      <mc:Fallback xmlns="">
        <xdr:pic>
          <xdr:nvPicPr>
            <xdr:cNvPr id="42" name="Ink 41">
              <a:extLst>
                <a:ext uri="{FF2B5EF4-FFF2-40B4-BE49-F238E27FC236}">
                  <a16:creationId xmlns:a16="http://schemas.microsoft.com/office/drawing/2014/main" id="{180CB097-F137-4E83-94F1-0FDB6F171FBD}"/>
                </a:ext>
              </a:extLst>
            </xdr:cNvPr>
            <xdr:cNvPicPr/>
          </xdr:nvPicPr>
          <xdr:blipFill>
            <a:blip xmlns:r="http://schemas.openxmlformats.org/officeDocument/2006/relationships" r:embed="rId155"/>
            <a:stretch>
              <a:fillRect/>
            </a:stretch>
          </xdr:blipFill>
          <xdr:spPr>
            <a:xfrm>
              <a:off x="2208600" y="676800"/>
              <a:ext cx="18000" cy="18000"/>
            </a:xfrm>
            <a:prstGeom prst="rect">
              <a:avLst/>
            </a:prstGeom>
          </xdr:spPr>
        </xdr:pic>
      </mc:Fallback>
    </mc:AlternateContent>
    <xdr:clientData/>
  </xdr:twoCellAnchor>
  <xdr:twoCellAnchor editAs="oneCell">
    <xdr:from>
      <xdr:col>3</xdr:col>
      <xdr:colOff>91440</xdr:colOff>
      <xdr:row>1</xdr:row>
      <xdr:rowOff>91080</xdr:rowOff>
    </xdr:from>
    <xdr:to>
      <xdr:col>3</xdr:col>
      <xdr:colOff>91800</xdr:colOff>
      <xdr:row>1</xdr:row>
      <xdr:rowOff>91440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
          <xdr14:nvContentPartPr>
            <xdr14:cNvPr id="62" name="Ink 61">
              <a:extLst>
                <a:ext uri="{FF2B5EF4-FFF2-40B4-BE49-F238E27FC236}">
                  <a16:creationId xmlns:a16="http://schemas.microsoft.com/office/drawing/2014/main" id="{5CCF4FC7-8DB3-4350-BE73-1B5A0DB6622E}"/>
                </a:ext>
              </a:extLst>
            </xdr14:cNvPr>
            <xdr14:cNvContentPartPr/>
          </xdr14:nvContentPartPr>
          <xdr14:nvPr macro=""/>
          <xdr14:xfrm>
            <a:off x="1920240" y="273960"/>
            <a:ext cx="360" cy="360"/>
          </xdr14:xfrm>
        </xdr:contentPart>
      </mc:Choice>
      <mc:Fallback xmlns="">
        <xdr:pic>
          <xdr:nvPicPr>
            <xdr:cNvPr id="62" name="Ink 61">
              <a:extLst>
                <a:ext uri="{FF2B5EF4-FFF2-40B4-BE49-F238E27FC236}">
                  <a16:creationId xmlns:a16="http://schemas.microsoft.com/office/drawing/2014/main" id="{5CCF4FC7-8DB3-4350-BE73-1B5A0DB6622E}"/>
                </a:ext>
              </a:extLst>
            </xdr:cNvPr>
            <xdr:cNvPicPr/>
          </xdr:nvPicPr>
          <xdr:blipFill>
            <a:blip xmlns:r="http://schemas.openxmlformats.org/officeDocument/2006/relationships" r:embed="rId157"/>
            <a:stretch>
              <a:fillRect/>
            </a:stretch>
          </xdr:blipFill>
          <xdr:spPr>
            <a:xfrm>
              <a:off x="1911600" y="265320"/>
              <a:ext cx="18000" cy="18000"/>
            </a:xfrm>
            <a:prstGeom prst="rect">
              <a:avLst/>
            </a:prstGeom>
          </xdr:spPr>
        </xdr:pic>
      </mc:Fallback>
    </mc:AlternateContent>
    <xdr:clientData/>
  </xdr:twoCellAnchor>
  <xdr:twoCellAnchor editAs="oneCell">
    <xdr:from>
      <xdr:col>5</xdr:col>
      <xdr:colOff>53040</xdr:colOff>
      <xdr:row>0</xdr:row>
      <xdr:rowOff>83520</xdr:rowOff>
    </xdr:from>
    <xdr:to>
      <xdr:col>5</xdr:col>
      <xdr:colOff>53400</xdr:colOff>
      <xdr:row>0</xdr:row>
      <xdr:rowOff>83880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
          <xdr14:nvContentPartPr>
            <xdr14:cNvPr id="63" name="Ink 62">
              <a:extLst>
                <a:ext uri="{FF2B5EF4-FFF2-40B4-BE49-F238E27FC236}">
                  <a16:creationId xmlns:a16="http://schemas.microsoft.com/office/drawing/2014/main" id="{9FEF7213-DF74-4D65-BCEA-89C72FB851D4}"/>
                </a:ext>
              </a:extLst>
            </xdr14:cNvPr>
            <xdr14:cNvContentPartPr/>
          </xdr14:nvContentPartPr>
          <xdr14:nvPr macro=""/>
          <xdr14:xfrm>
            <a:off x="3101040" y="83520"/>
            <a:ext cx="360" cy="360"/>
          </xdr14:xfrm>
        </xdr:contentPart>
      </mc:Choice>
      <mc:Fallback xmlns="">
        <xdr:pic>
          <xdr:nvPicPr>
            <xdr:cNvPr id="63" name="Ink 62">
              <a:extLst>
                <a:ext uri="{FF2B5EF4-FFF2-40B4-BE49-F238E27FC236}">
                  <a16:creationId xmlns:a16="http://schemas.microsoft.com/office/drawing/2014/main" id="{9FEF7213-DF74-4D65-BCEA-89C72FB851D4}"/>
                </a:ext>
              </a:extLst>
            </xdr:cNvPr>
            <xdr:cNvPicPr/>
          </xdr:nvPicPr>
          <xdr:blipFill>
            <a:blip xmlns:r="http://schemas.openxmlformats.org/officeDocument/2006/relationships" r:embed="rId159"/>
            <a:stretch>
              <a:fillRect/>
            </a:stretch>
          </xdr:blipFill>
          <xdr:spPr>
            <a:xfrm>
              <a:off x="3092400" y="74880"/>
              <a:ext cx="18000" cy="18000"/>
            </a:xfrm>
            <a:prstGeom prst="rect">
              <a:avLst/>
            </a:prstGeom>
          </xdr:spPr>
        </xdr:pic>
      </mc:Fallback>
    </mc:AlternateContent>
    <xdr:clientData/>
  </xdr:twoCellAnchor>
  <xdr:twoCellAnchor editAs="oneCell">
    <xdr:from>
      <xdr:col>4</xdr:col>
      <xdr:colOff>45600</xdr:colOff>
      <xdr:row>2</xdr:row>
      <xdr:rowOff>7560</xdr:rowOff>
    </xdr:from>
    <xdr:to>
      <xdr:col>4</xdr:col>
      <xdr:colOff>45960</xdr:colOff>
      <xdr:row>2</xdr:row>
      <xdr:rowOff>7920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
          <xdr14:nvContentPartPr>
            <xdr14:cNvPr id="64" name="Ink 63">
              <a:extLst>
                <a:ext uri="{FF2B5EF4-FFF2-40B4-BE49-F238E27FC236}">
                  <a16:creationId xmlns:a16="http://schemas.microsoft.com/office/drawing/2014/main" id="{9EE3042F-A2BD-4737-8571-CBA2C50AD1D8}"/>
                </a:ext>
              </a:extLst>
            </xdr14:cNvPr>
            <xdr14:cNvContentPartPr/>
          </xdr14:nvContentPartPr>
          <xdr14:nvPr macro=""/>
          <xdr14:xfrm>
            <a:off x="2484000" y="373320"/>
            <a:ext cx="360" cy="360"/>
          </xdr14:xfrm>
        </xdr:contentPart>
      </mc:Choice>
      <mc:Fallback xmlns="">
        <xdr:pic>
          <xdr:nvPicPr>
            <xdr:cNvPr id="64" name="Ink 63">
              <a:extLst>
                <a:ext uri="{FF2B5EF4-FFF2-40B4-BE49-F238E27FC236}">
                  <a16:creationId xmlns:a16="http://schemas.microsoft.com/office/drawing/2014/main" id="{9EE3042F-A2BD-4737-8571-CBA2C50AD1D8}"/>
                </a:ext>
              </a:extLst>
            </xdr:cNvPr>
            <xdr:cNvPicPr/>
          </xdr:nvPicPr>
          <xdr:blipFill>
            <a:blip xmlns:r="http://schemas.openxmlformats.org/officeDocument/2006/relationships" r:embed="rId161"/>
            <a:stretch>
              <a:fillRect/>
            </a:stretch>
          </xdr:blipFill>
          <xdr:spPr>
            <a:xfrm>
              <a:off x="2475360" y="364680"/>
              <a:ext cx="18000" cy="18000"/>
            </a:xfrm>
            <a:prstGeom prst="rect">
              <a:avLst/>
            </a:prstGeom>
          </xdr:spPr>
        </xdr:pic>
      </mc:Fallback>
    </mc:AlternateContent>
    <xdr:clientData/>
  </xdr:twoCellAnchor>
  <xdr:twoCellAnchor editAs="oneCell">
    <xdr:from>
      <xdr:col>4</xdr:col>
      <xdr:colOff>220920</xdr:colOff>
      <xdr:row>2</xdr:row>
      <xdr:rowOff>136800</xdr:rowOff>
    </xdr:from>
    <xdr:to>
      <xdr:col>4</xdr:col>
      <xdr:colOff>221280</xdr:colOff>
      <xdr:row>2</xdr:row>
      <xdr:rowOff>137160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
          <xdr14:nvContentPartPr>
            <xdr14:cNvPr id="65" name="Ink 64">
              <a:extLst>
                <a:ext uri="{FF2B5EF4-FFF2-40B4-BE49-F238E27FC236}">
                  <a16:creationId xmlns:a16="http://schemas.microsoft.com/office/drawing/2014/main" id="{94583688-5370-41FA-8CD0-3A3B0924FB74}"/>
                </a:ext>
              </a:extLst>
            </xdr14:cNvPr>
            <xdr14:cNvContentPartPr/>
          </xdr14:nvContentPartPr>
          <xdr14:nvPr macro=""/>
          <xdr14:xfrm>
            <a:off x="2659320" y="502560"/>
            <a:ext cx="360" cy="360"/>
          </xdr14:xfrm>
        </xdr:contentPart>
      </mc:Choice>
      <mc:Fallback xmlns="">
        <xdr:pic>
          <xdr:nvPicPr>
            <xdr:cNvPr id="65" name="Ink 64">
              <a:extLst>
                <a:ext uri="{FF2B5EF4-FFF2-40B4-BE49-F238E27FC236}">
                  <a16:creationId xmlns:a16="http://schemas.microsoft.com/office/drawing/2014/main" id="{94583688-5370-41FA-8CD0-3A3B0924FB74}"/>
                </a:ext>
              </a:extLst>
            </xdr:cNvPr>
            <xdr:cNvPicPr/>
          </xdr:nvPicPr>
          <xdr:blipFill>
            <a:blip xmlns:r="http://schemas.openxmlformats.org/officeDocument/2006/relationships" r:embed="rId163"/>
            <a:stretch>
              <a:fillRect/>
            </a:stretch>
          </xdr:blipFill>
          <xdr:spPr>
            <a:xfrm>
              <a:off x="2650680" y="493920"/>
              <a:ext cx="18000" cy="18000"/>
            </a:xfrm>
            <a:prstGeom prst="rect">
              <a:avLst/>
            </a:prstGeom>
          </xdr:spPr>
        </xdr:pic>
      </mc:Fallback>
    </mc:AlternateContent>
    <xdr:clientData/>
  </xdr:twoCellAnchor>
  <xdr:twoCellAnchor editAs="oneCell">
    <xdr:from>
      <xdr:col>5</xdr:col>
      <xdr:colOff>411240</xdr:colOff>
      <xdr:row>2</xdr:row>
      <xdr:rowOff>53280</xdr:rowOff>
    </xdr:from>
    <xdr:to>
      <xdr:col>5</xdr:col>
      <xdr:colOff>411600</xdr:colOff>
      <xdr:row>2</xdr:row>
      <xdr:rowOff>53640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
          <xdr14:nvContentPartPr>
            <xdr14:cNvPr id="66" name="Ink 65">
              <a:extLst>
                <a:ext uri="{FF2B5EF4-FFF2-40B4-BE49-F238E27FC236}">
                  <a16:creationId xmlns:a16="http://schemas.microsoft.com/office/drawing/2014/main" id="{7D628A78-89C5-4B63-81D2-B9D843F86D3E}"/>
                </a:ext>
              </a:extLst>
            </xdr14:cNvPr>
            <xdr14:cNvContentPartPr/>
          </xdr14:nvContentPartPr>
          <xdr14:nvPr macro=""/>
          <xdr14:xfrm>
            <a:off x="3459240" y="419040"/>
            <a:ext cx="360" cy="360"/>
          </xdr14:xfrm>
        </xdr:contentPart>
      </mc:Choice>
      <mc:Fallback xmlns="">
        <xdr:pic>
          <xdr:nvPicPr>
            <xdr:cNvPr id="66" name="Ink 65">
              <a:extLst>
                <a:ext uri="{FF2B5EF4-FFF2-40B4-BE49-F238E27FC236}">
                  <a16:creationId xmlns:a16="http://schemas.microsoft.com/office/drawing/2014/main" id="{7D628A78-89C5-4B63-81D2-B9D843F86D3E}"/>
                </a:ext>
              </a:extLst>
            </xdr:cNvPr>
            <xdr:cNvPicPr/>
          </xdr:nvPicPr>
          <xdr:blipFill>
            <a:blip xmlns:r="http://schemas.openxmlformats.org/officeDocument/2006/relationships" r:embed="rId165"/>
            <a:stretch>
              <a:fillRect/>
            </a:stretch>
          </xdr:blipFill>
          <xdr:spPr>
            <a:xfrm>
              <a:off x="3450600" y="410400"/>
              <a:ext cx="18000" cy="18000"/>
            </a:xfrm>
            <a:prstGeom prst="rect">
              <a:avLst/>
            </a:prstGeom>
          </xdr:spPr>
        </xdr:pic>
      </mc:Fallback>
    </mc:AlternateContent>
    <xdr:clientData/>
  </xdr:twoCellAnchor>
  <xdr:twoCellAnchor editAs="oneCell">
    <xdr:from>
      <xdr:col>5</xdr:col>
      <xdr:colOff>152400</xdr:colOff>
      <xdr:row>4</xdr:row>
      <xdr:rowOff>30240</xdr:rowOff>
    </xdr:from>
    <xdr:to>
      <xdr:col>5</xdr:col>
      <xdr:colOff>152760</xdr:colOff>
      <xdr:row>4</xdr:row>
      <xdr:rowOff>30600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
          <xdr14:nvContentPartPr>
            <xdr14:cNvPr id="67" name="Ink 66">
              <a:extLst>
                <a:ext uri="{FF2B5EF4-FFF2-40B4-BE49-F238E27FC236}">
                  <a16:creationId xmlns:a16="http://schemas.microsoft.com/office/drawing/2014/main" id="{12663FE6-32F7-425C-A4C6-57619C83E73B}"/>
                </a:ext>
              </a:extLst>
            </xdr14:cNvPr>
            <xdr14:cNvContentPartPr/>
          </xdr14:nvContentPartPr>
          <xdr14:nvPr macro=""/>
          <xdr14:xfrm>
            <a:off x="3200400" y="761760"/>
            <a:ext cx="360" cy="360"/>
          </xdr14:xfrm>
        </xdr:contentPart>
      </mc:Choice>
      <mc:Fallback xmlns="">
        <xdr:pic>
          <xdr:nvPicPr>
            <xdr:cNvPr id="67" name="Ink 66">
              <a:extLst>
                <a:ext uri="{FF2B5EF4-FFF2-40B4-BE49-F238E27FC236}">
                  <a16:creationId xmlns:a16="http://schemas.microsoft.com/office/drawing/2014/main" id="{12663FE6-32F7-425C-A4C6-57619C83E73B}"/>
                </a:ext>
              </a:extLst>
            </xdr:cNvPr>
            <xdr:cNvPicPr/>
          </xdr:nvPicPr>
          <xdr:blipFill>
            <a:blip xmlns:r="http://schemas.openxmlformats.org/officeDocument/2006/relationships" r:embed="rId167"/>
            <a:stretch>
              <a:fillRect/>
            </a:stretch>
          </xdr:blipFill>
          <xdr:spPr>
            <a:xfrm>
              <a:off x="3191760" y="753120"/>
              <a:ext cx="18000" cy="18000"/>
            </a:xfrm>
            <a:prstGeom prst="rect">
              <a:avLst/>
            </a:prstGeom>
          </xdr:spPr>
        </xdr:pic>
      </mc:Fallback>
    </mc:AlternateContent>
    <xdr:clientData/>
  </xdr:twoCellAnchor>
  <xdr:twoCellAnchor editAs="oneCell">
    <xdr:from>
      <xdr:col>6</xdr:col>
      <xdr:colOff>258840</xdr:colOff>
      <xdr:row>0</xdr:row>
      <xdr:rowOff>136800</xdr:rowOff>
    </xdr:from>
    <xdr:to>
      <xdr:col>6</xdr:col>
      <xdr:colOff>259200</xdr:colOff>
      <xdr:row>0</xdr:row>
      <xdr:rowOff>137160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
          <xdr14:nvContentPartPr>
            <xdr14:cNvPr id="68" name="Ink 67">
              <a:extLst>
                <a:ext uri="{FF2B5EF4-FFF2-40B4-BE49-F238E27FC236}">
                  <a16:creationId xmlns:a16="http://schemas.microsoft.com/office/drawing/2014/main" id="{3E2644DE-52E1-4719-AF81-D119F1A1E150}"/>
                </a:ext>
              </a:extLst>
            </xdr14:cNvPr>
            <xdr14:cNvContentPartPr/>
          </xdr14:nvContentPartPr>
          <xdr14:nvPr macro=""/>
          <xdr14:xfrm>
            <a:off x="3916440" y="136800"/>
            <a:ext cx="360" cy="360"/>
          </xdr14:xfrm>
        </xdr:contentPart>
      </mc:Choice>
      <mc:Fallback xmlns="">
        <xdr:pic>
          <xdr:nvPicPr>
            <xdr:cNvPr id="68" name="Ink 67">
              <a:extLst>
                <a:ext uri="{FF2B5EF4-FFF2-40B4-BE49-F238E27FC236}">
                  <a16:creationId xmlns:a16="http://schemas.microsoft.com/office/drawing/2014/main" id="{3E2644DE-52E1-4719-AF81-D119F1A1E150}"/>
                </a:ext>
              </a:extLst>
            </xdr:cNvPr>
            <xdr:cNvPicPr/>
          </xdr:nvPicPr>
          <xdr:blipFill>
            <a:blip xmlns:r="http://schemas.openxmlformats.org/officeDocument/2006/relationships" r:embed="rId169"/>
            <a:stretch>
              <a:fillRect/>
            </a:stretch>
          </xdr:blipFill>
          <xdr:spPr>
            <a:xfrm>
              <a:off x="3907800" y="128160"/>
              <a:ext cx="18000" cy="18000"/>
            </a:xfrm>
            <a:prstGeom prst="rect">
              <a:avLst/>
            </a:prstGeom>
          </xdr:spPr>
        </xdr:pic>
      </mc:Fallback>
    </mc:AlternateContent>
    <xdr:clientData/>
  </xdr:twoCellAnchor>
  <xdr:twoCellAnchor editAs="oneCell">
    <xdr:from>
      <xdr:col>9</xdr:col>
      <xdr:colOff>236160</xdr:colOff>
      <xdr:row>3</xdr:row>
      <xdr:rowOff>174960</xdr:rowOff>
    </xdr:from>
    <xdr:to>
      <xdr:col>9</xdr:col>
      <xdr:colOff>236520</xdr:colOff>
      <xdr:row>3</xdr:row>
      <xdr:rowOff>175320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
          <xdr14:nvContentPartPr>
            <xdr14:cNvPr id="71" name="Ink 70">
              <a:extLst>
                <a:ext uri="{FF2B5EF4-FFF2-40B4-BE49-F238E27FC236}">
                  <a16:creationId xmlns:a16="http://schemas.microsoft.com/office/drawing/2014/main" id="{661F34DC-5EB4-4B66-9735-BA0DAC3DE56E}"/>
                </a:ext>
              </a:extLst>
            </xdr14:cNvPr>
            <xdr14:cNvContentPartPr/>
          </xdr14:nvContentPartPr>
          <xdr14:nvPr macro=""/>
          <xdr14:xfrm>
            <a:off x="5722560" y="723600"/>
            <a:ext cx="360" cy="360"/>
          </xdr14:xfrm>
        </xdr:contentPart>
      </mc:Choice>
      <mc:Fallback xmlns="">
        <xdr:pic>
          <xdr:nvPicPr>
            <xdr:cNvPr id="71" name="Ink 70">
              <a:extLst>
                <a:ext uri="{FF2B5EF4-FFF2-40B4-BE49-F238E27FC236}">
                  <a16:creationId xmlns:a16="http://schemas.microsoft.com/office/drawing/2014/main" id="{661F34DC-5EB4-4B66-9735-BA0DAC3DE56E}"/>
                </a:ext>
              </a:extLst>
            </xdr:cNvPr>
            <xdr:cNvPicPr/>
          </xdr:nvPicPr>
          <xdr:blipFill>
            <a:blip xmlns:r="http://schemas.openxmlformats.org/officeDocument/2006/relationships" r:embed="rId171"/>
            <a:stretch>
              <a:fillRect/>
            </a:stretch>
          </xdr:blipFill>
          <xdr:spPr>
            <a:xfrm>
              <a:off x="5713920" y="714960"/>
              <a:ext cx="18000" cy="18000"/>
            </a:xfrm>
            <a:prstGeom prst="rect">
              <a:avLst/>
            </a:prstGeom>
          </xdr:spPr>
        </xdr:pic>
      </mc:Fallback>
    </mc:AlternateContent>
    <xdr:clientData/>
  </xdr:twoCellAnchor>
  <xdr:twoCellAnchor editAs="oneCell">
    <xdr:from>
      <xdr:col>8</xdr:col>
      <xdr:colOff>106680</xdr:colOff>
      <xdr:row>0</xdr:row>
      <xdr:rowOff>91080</xdr:rowOff>
    </xdr:from>
    <xdr:to>
      <xdr:col>8</xdr:col>
      <xdr:colOff>107040</xdr:colOff>
      <xdr:row>0</xdr:row>
      <xdr:rowOff>91440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
          <xdr14:nvContentPartPr>
            <xdr14:cNvPr id="74" name="Ink 73">
              <a:extLst>
                <a:ext uri="{FF2B5EF4-FFF2-40B4-BE49-F238E27FC236}">
                  <a16:creationId xmlns:a16="http://schemas.microsoft.com/office/drawing/2014/main" id="{152EE2AB-B06E-442B-BFD2-B71C2E330D2D}"/>
                </a:ext>
              </a:extLst>
            </xdr14:cNvPr>
            <xdr14:cNvContentPartPr/>
          </xdr14:nvContentPartPr>
          <xdr14:nvPr macro=""/>
          <xdr14:xfrm>
            <a:off x="4983480" y="91080"/>
            <a:ext cx="360" cy="360"/>
          </xdr14:xfrm>
        </xdr:contentPart>
      </mc:Choice>
      <mc:Fallback xmlns="">
        <xdr:pic>
          <xdr:nvPicPr>
            <xdr:cNvPr id="74" name="Ink 73">
              <a:extLst>
                <a:ext uri="{FF2B5EF4-FFF2-40B4-BE49-F238E27FC236}">
                  <a16:creationId xmlns:a16="http://schemas.microsoft.com/office/drawing/2014/main" id="{152EE2AB-B06E-442B-BFD2-B71C2E330D2D}"/>
                </a:ext>
              </a:extLst>
            </xdr:cNvPr>
            <xdr:cNvPicPr/>
          </xdr:nvPicPr>
          <xdr:blipFill>
            <a:blip xmlns:r="http://schemas.openxmlformats.org/officeDocument/2006/relationships" r:embed="rId173"/>
            <a:stretch>
              <a:fillRect/>
            </a:stretch>
          </xdr:blipFill>
          <xdr:spPr>
            <a:xfrm>
              <a:off x="4974840" y="82440"/>
              <a:ext cx="18000" cy="18000"/>
            </a:xfrm>
            <a:prstGeom prst="rect">
              <a:avLst/>
            </a:prstGeom>
          </xdr:spPr>
        </xdr:pic>
      </mc:Fallback>
    </mc:AlternateContent>
    <xdr:clientData/>
  </xdr:twoCellAnchor>
  <xdr:twoCellAnchor editAs="oneCell">
    <xdr:from>
      <xdr:col>11</xdr:col>
      <xdr:colOff>487560</xdr:colOff>
      <xdr:row>0</xdr:row>
      <xdr:rowOff>121680</xdr:rowOff>
    </xdr:from>
    <xdr:to>
      <xdr:col>11</xdr:col>
      <xdr:colOff>487920</xdr:colOff>
      <xdr:row>0</xdr:row>
      <xdr:rowOff>122040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
          <xdr14:nvContentPartPr>
            <xdr14:cNvPr id="77" name="Ink 76">
              <a:extLst>
                <a:ext uri="{FF2B5EF4-FFF2-40B4-BE49-F238E27FC236}">
                  <a16:creationId xmlns:a16="http://schemas.microsoft.com/office/drawing/2014/main" id="{F6C00B11-5F37-4AC3-BF5E-5CAA1064FF9C}"/>
                </a:ext>
              </a:extLst>
            </xdr14:cNvPr>
            <xdr14:cNvContentPartPr/>
          </xdr14:nvContentPartPr>
          <xdr14:nvPr macro=""/>
          <xdr14:xfrm>
            <a:off x="7193160" y="121680"/>
            <a:ext cx="360" cy="360"/>
          </xdr14:xfrm>
        </xdr:contentPart>
      </mc:Choice>
      <mc:Fallback xmlns="">
        <xdr:pic>
          <xdr:nvPicPr>
            <xdr:cNvPr id="77" name="Ink 76">
              <a:extLst>
                <a:ext uri="{FF2B5EF4-FFF2-40B4-BE49-F238E27FC236}">
                  <a16:creationId xmlns:a16="http://schemas.microsoft.com/office/drawing/2014/main" id="{F6C00B11-5F37-4AC3-BF5E-5CAA1064FF9C}"/>
                </a:ext>
              </a:extLst>
            </xdr:cNvPr>
            <xdr:cNvPicPr/>
          </xdr:nvPicPr>
          <xdr:blipFill>
            <a:blip xmlns:r="http://schemas.openxmlformats.org/officeDocument/2006/relationships" r:embed="rId175"/>
            <a:stretch>
              <a:fillRect/>
            </a:stretch>
          </xdr:blipFill>
          <xdr:spPr>
            <a:xfrm>
              <a:off x="7184520" y="113040"/>
              <a:ext cx="18000" cy="18000"/>
            </a:xfrm>
            <a:prstGeom prst="rect">
              <a:avLst/>
            </a:prstGeom>
          </xdr:spPr>
        </xdr:pic>
      </mc:Fallback>
    </mc:AlternateContent>
    <xdr:clientData/>
  </xdr:twoCellAnchor>
  <xdr:twoCellAnchor editAs="oneCell">
    <xdr:from>
      <xdr:col>14</xdr:col>
      <xdr:colOff>418800</xdr:colOff>
      <xdr:row>3</xdr:row>
      <xdr:rowOff>174960</xdr:rowOff>
    </xdr:from>
    <xdr:to>
      <xdr:col>14</xdr:col>
      <xdr:colOff>419160</xdr:colOff>
      <xdr:row>3</xdr:row>
      <xdr:rowOff>175320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
          <xdr14:nvContentPartPr>
            <xdr14:cNvPr id="79" name="Ink 78">
              <a:extLst>
                <a:ext uri="{FF2B5EF4-FFF2-40B4-BE49-F238E27FC236}">
                  <a16:creationId xmlns:a16="http://schemas.microsoft.com/office/drawing/2014/main" id="{19172F22-9607-4F46-B39D-A0F8D0E9C2B6}"/>
                </a:ext>
              </a:extLst>
            </xdr14:cNvPr>
            <xdr14:cNvContentPartPr/>
          </xdr14:nvContentPartPr>
          <xdr14:nvPr macro=""/>
          <xdr14:xfrm>
            <a:off x="8953200" y="723600"/>
            <a:ext cx="360" cy="360"/>
          </xdr14:xfrm>
        </xdr:contentPart>
      </mc:Choice>
      <mc:Fallback xmlns="">
        <xdr:pic>
          <xdr:nvPicPr>
            <xdr:cNvPr id="79" name="Ink 78">
              <a:extLst>
                <a:ext uri="{FF2B5EF4-FFF2-40B4-BE49-F238E27FC236}">
                  <a16:creationId xmlns:a16="http://schemas.microsoft.com/office/drawing/2014/main" id="{19172F22-9607-4F46-B39D-A0F8D0E9C2B6}"/>
                </a:ext>
              </a:extLst>
            </xdr:cNvPr>
            <xdr:cNvPicPr/>
          </xdr:nvPicPr>
          <xdr:blipFill>
            <a:blip xmlns:r="http://schemas.openxmlformats.org/officeDocument/2006/relationships" r:embed="rId177"/>
            <a:stretch>
              <a:fillRect/>
            </a:stretch>
          </xdr:blipFill>
          <xdr:spPr>
            <a:xfrm>
              <a:off x="8944560" y="714960"/>
              <a:ext cx="18000" cy="18000"/>
            </a:xfrm>
            <a:prstGeom prst="rect">
              <a:avLst/>
            </a:prstGeom>
          </xdr:spPr>
        </xdr:pic>
      </mc:Fallback>
    </mc:AlternateContent>
    <xdr:clientData/>
  </xdr:twoCellAnchor>
  <xdr:twoCellAnchor editAs="oneCell">
    <xdr:from>
      <xdr:col>19</xdr:col>
      <xdr:colOff>540960</xdr:colOff>
      <xdr:row>0</xdr:row>
      <xdr:rowOff>144720</xdr:rowOff>
    </xdr:from>
    <xdr:to>
      <xdr:col>19</xdr:col>
      <xdr:colOff>541320</xdr:colOff>
      <xdr:row>0</xdr:row>
      <xdr:rowOff>145080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
          <xdr14:nvContentPartPr>
            <xdr14:cNvPr id="88" name="Ink 87">
              <a:extLst>
                <a:ext uri="{FF2B5EF4-FFF2-40B4-BE49-F238E27FC236}">
                  <a16:creationId xmlns:a16="http://schemas.microsoft.com/office/drawing/2014/main" id="{A53A954C-5D43-48DF-8BB5-4CCE14B84D40}"/>
                </a:ext>
              </a:extLst>
            </xdr14:cNvPr>
            <xdr14:cNvContentPartPr/>
          </xdr14:nvContentPartPr>
          <xdr14:nvPr macro=""/>
          <xdr14:xfrm>
            <a:off x="12123360" y="144720"/>
            <a:ext cx="360" cy="360"/>
          </xdr14:xfrm>
        </xdr:contentPart>
      </mc:Choice>
      <mc:Fallback xmlns="">
        <xdr:pic>
          <xdr:nvPicPr>
            <xdr:cNvPr id="88" name="Ink 87">
              <a:extLst>
                <a:ext uri="{FF2B5EF4-FFF2-40B4-BE49-F238E27FC236}">
                  <a16:creationId xmlns:a16="http://schemas.microsoft.com/office/drawing/2014/main" id="{A53A954C-5D43-48DF-8BB5-4CCE14B84D40}"/>
                </a:ext>
              </a:extLst>
            </xdr:cNvPr>
            <xdr:cNvPicPr/>
          </xdr:nvPicPr>
          <xdr:blipFill>
            <a:blip xmlns:r="http://schemas.openxmlformats.org/officeDocument/2006/relationships" r:embed="rId179"/>
            <a:stretch>
              <a:fillRect/>
            </a:stretch>
          </xdr:blipFill>
          <xdr:spPr>
            <a:xfrm>
              <a:off x="12114720" y="136080"/>
              <a:ext cx="18000" cy="18000"/>
            </a:xfrm>
            <a:prstGeom prst="rect">
              <a:avLst/>
            </a:prstGeom>
          </xdr:spPr>
        </xdr:pic>
      </mc:Fallback>
    </mc:AlternateContent>
    <xdr:clientData/>
  </xdr:twoCellAnchor>
  <xdr:twoCellAnchor editAs="oneCell">
    <xdr:from>
      <xdr:col>20</xdr:col>
      <xdr:colOff>228360</xdr:colOff>
      <xdr:row>2</xdr:row>
      <xdr:rowOff>75960</xdr:rowOff>
    </xdr:from>
    <xdr:to>
      <xdr:col>20</xdr:col>
      <xdr:colOff>228720</xdr:colOff>
      <xdr:row>2</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
          <xdr14:nvContentPartPr>
            <xdr14:cNvPr id="94" name="Ink 93">
              <a:extLst>
                <a:ext uri="{FF2B5EF4-FFF2-40B4-BE49-F238E27FC236}">
                  <a16:creationId xmlns:a16="http://schemas.microsoft.com/office/drawing/2014/main" id="{BC87CA7E-F1BB-4888-89E1-7CBB8FF4FD0C}"/>
                </a:ext>
              </a:extLst>
            </xdr14:cNvPr>
            <xdr14:cNvContentPartPr/>
          </xdr14:nvContentPartPr>
          <xdr14:nvPr macro=""/>
          <xdr14:xfrm>
            <a:off x="12420360" y="441720"/>
            <a:ext cx="360" cy="360"/>
          </xdr14:xfrm>
        </xdr:contentPart>
      </mc:Choice>
      <mc:Fallback xmlns="">
        <xdr:pic>
          <xdr:nvPicPr>
            <xdr:cNvPr id="94" name="Ink 93">
              <a:extLst>
                <a:ext uri="{FF2B5EF4-FFF2-40B4-BE49-F238E27FC236}">
                  <a16:creationId xmlns:a16="http://schemas.microsoft.com/office/drawing/2014/main" id="{BC87CA7E-F1BB-4888-89E1-7CBB8FF4FD0C}"/>
                </a:ext>
              </a:extLst>
            </xdr:cNvPr>
            <xdr:cNvPicPr/>
          </xdr:nvPicPr>
          <xdr:blipFill>
            <a:blip xmlns:r="http://schemas.openxmlformats.org/officeDocument/2006/relationships" r:embed="rId181"/>
            <a:stretch>
              <a:fillRect/>
            </a:stretch>
          </xdr:blipFill>
          <xdr:spPr>
            <a:xfrm>
              <a:off x="12411720" y="433080"/>
              <a:ext cx="18000" cy="18000"/>
            </a:xfrm>
            <a:prstGeom prst="rect">
              <a:avLst/>
            </a:prstGeom>
          </xdr:spPr>
        </xdr:pic>
      </mc:Fallback>
    </mc:AlternateContent>
    <xdr:clientData/>
  </xdr:twoCellAnchor>
  <xdr:twoCellAnchor editAs="oneCell">
    <xdr:from>
      <xdr:col>22</xdr:col>
      <xdr:colOff>426480</xdr:colOff>
      <xdr:row>1</xdr:row>
      <xdr:rowOff>7560</xdr:rowOff>
    </xdr:from>
    <xdr:to>
      <xdr:col>22</xdr:col>
      <xdr:colOff>426840</xdr:colOff>
      <xdr:row>1</xdr:row>
      <xdr:rowOff>7920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
          <xdr14:nvContentPartPr>
            <xdr14:cNvPr id="96" name="Ink 95">
              <a:extLst>
                <a:ext uri="{FF2B5EF4-FFF2-40B4-BE49-F238E27FC236}">
                  <a16:creationId xmlns:a16="http://schemas.microsoft.com/office/drawing/2014/main" id="{731E23E7-5710-43E1-8889-65B67ADA371C}"/>
                </a:ext>
              </a:extLst>
            </xdr14:cNvPr>
            <xdr14:cNvContentPartPr/>
          </xdr14:nvContentPartPr>
          <xdr14:nvPr macro=""/>
          <xdr14:xfrm>
            <a:off x="13837680" y="190440"/>
            <a:ext cx="360" cy="360"/>
          </xdr14:xfrm>
        </xdr:contentPart>
      </mc:Choice>
      <mc:Fallback xmlns="">
        <xdr:pic>
          <xdr:nvPicPr>
            <xdr:cNvPr id="96" name="Ink 95">
              <a:extLst>
                <a:ext uri="{FF2B5EF4-FFF2-40B4-BE49-F238E27FC236}">
                  <a16:creationId xmlns:a16="http://schemas.microsoft.com/office/drawing/2014/main" id="{731E23E7-5710-43E1-8889-65B67ADA371C}"/>
                </a:ext>
              </a:extLst>
            </xdr:cNvPr>
            <xdr:cNvPicPr/>
          </xdr:nvPicPr>
          <xdr:blipFill>
            <a:blip xmlns:r="http://schemas.openxmlformats.org/officeDocument/2006/relationships" r:embed="rId183"/>
            <a:stretch>
              <a:fillRect/>
            </a:stretch>
          </xdr:blipFill>
          <xdr:spPr>
            <a:xfrm>
              <a:off x="13829040" y="181800"/>
              <a:ext cx="18000" cy="18000"/>
            </a:xfrm>
            <a:prstGeom prst="rect">
              <a:avLst/>
            </a:prstGeom>
          </xdr:spPr>
        </xdr:pic>
      </mc:Fallback>
    </mc:AlternateContent>
    <xdr:clientData/>
  </xdr:twoCellAnchor>
  <xdr:twoCellAnchor editAs="oneCell">
    <xdr:from>
      <xdr:col>22</xdr:col>
      <xdr:colOff>586680</xdr:colOff>
      <xdr:row>3</xdr:row>
      <xdr:rowOff>114120</xdr:rowOff>
    </xdr:from>
    <xdr:to>
      <xdr:col>22</xdr:col>
      <xdr:colOff>587040</xdr:colOff>
      <xdr:row>3</xdr:row>
      <xdr:rowOff>114480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
          <xdr14:nvContentPartPr>
            <xdr14:cNvPr id="97" name="Ink 96">
              <a:extLst>
                <a:ext uri="{FF2B5EF4-FFF2-40B4-BE49-F238E27FC236}">
                  <a16:creationId xmlns:a16="http://schemas.microsoft.com/office/drawing/2014/main" id="{69CAAF0B-4E9E-44EA-BB19-E9E2FA48BC9A}"/>
                </a:ext>
              </a:extLst>
            </xdr14:cNvPr>
            <xdr14:cNvContentPartPr/>
          </xdr14:nvContentPartPr>
          <xdr14:nvPr macro=""/>
          <xdr14:xfrm>
            <a:off x="13997880" y="662760"/>
            <a:ext cx="360" cy="360"/>
          </xdr14:xfrm>
        </xdr:contentPart>
      </mc:Choice>
      <mc:Fallback xmlns="">
        <xdr:pic>
          <xdr:nvPicPr>
            <xdr:cNvPr id="97" name="Ink 96">
              <a:extLst>
                <a:ext uri="{FF2B5EF4-FFF2-40B4-BE49-F238E27FC236}">
                  <a16:creationId xmlns:a16="http://schemas.microsoft.com/office/drawing/2014/main" id="{69CAAF0B-4E9E-44EA-BB19-E9E2FA48BC9A}"/>
                </a:ext>
              </a:extLst>
            </xdr:cNvPr>
            <xdr:cNvPicPr/>
          </xdr:nvPicPr>
          <xdr:blipFill>
            <a:blip xmlns:r="http://schemas.openxmlformats.org/officeDocument/2006/relationships" r:embed="rId185"/>
            <a:stretch>
              <a:fillRect/>
            </a:stretch>
          </xdr:blipFill>
          <xdr:spPr>
            <a:xfrm>
              <a:off x="13989240" y="654120"/>
              <a:ext cx="18000" cy="18000"/>
            </a:xfrm>
            <a:prstGeom prst="rect">
              <a:avLst/>
            </a:prstGeom>
          </xdr:spPr>
        </xdr:pic>
      </mc:Fallback>
    </mc:AlternateContent>
    <xdr:clientData/>
  </xdr:twoCellAnchor>
  <xdr:twoCellAnchor editAs="oneCell">
    <xdr:from>
      <xdr:col>17</xdr:col>
      <xdr:colOff>357960</xdr:colOff>
      <xdr:row>3</xdr:row>
      <xdr:rowOff>121680</xdr:rowOff>
    </xdr:from>
    <xdr:to>
      <xdr:col>17</xdr:col>
      <xdr:colOff>358320</xdr:colOff>
      <xdr:row>3</xdr:row>
      <xdr:rowOff>122040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
          <xdr14:nvContentPartPr>
            <xdr14:cNvPr id="98" name="Ink 97">
              <a:extLst>
                <a:ext uri="{FF2B5EF4-FFF2-40B4-BE49-F238E27FC236}">
                  <a16:creationId xmlns:a16="http://schemas.microsoft.com/office/drawing/2014/main" id="{3477F0CE-FFA0-40C4-AE0C-A1EA4DE91A39}"/>
                </a:ext>
              </a:extLst>
            </xdr14:cNvPr>
            <xdr14:cNvContentPartPr/>
          </xdr14:nvContentPartPr>
          <xdr14:nvPr macro=""/>
          <xdr14:xfrm>
            <a:off x="10721160" y="670320"/>
            <a:ext cx="360" cy="360"/>
          </xdr14:xfrm>
        </xdr:contentPart>
      </mc:Choice>
      <mc:Fallback xmlns="">
        <xdr:pic>
          <xdr:nvPicPr>
            <xdr:cNvPr id="98" name="Ink 97">
              <a:extLst>
                <a:ext uri="{FF2B5EF4-FFF2-40B4-BE49-F238E27FC236}">
                  <a16:creationId xmlns:a16="http://schemas.microsoft.com/office/drawing/2014/main" id="{3477F0CE-FFA0-40C4-AE0C-A1EA4DE91A39}"/>
                </a:ext>
              </a:extLst>
            </xdr:cNvPr>
            <xdr:cNvPicPr/>
          </xdr:nvPicPr>
          <xdr:blipFill>
            <a:blip xmlns:r="http://schemas.openxmlformats.org/officeDocument/2006/relationships" r:embed="rId187"/>
            <a:stretch>
              <a:fillRect/>
            </a:stretch>
          </xdr:blipFill>
          <xdr:spPr>
            <a:xfrm>
              <a:off x="10712520" y="661680"/>
              <a:ext cx="18000" cy="18000"/>
            </a:xfrm>
            <a:prstGeom prst="rect">
              <a:avLst/>
            </a:prstGeom>
          </xdr:spPr>
        </xdr:pic>
      </mc:Fallback>
    </mc:AlternateContent>
    <xdr:clientData/>
  </xdr:twoCellAnchor>
  <xdr:twoCellAnchor editAs="oneCell">
    <xdr:from>
      <xdr:col>16</xdr:col>
      <xdr:colOff>594240</xdr:colOff>
      <xdr:row>1</xdr:row>
      <xdr:rowOff>37800</xdr:rowOff>
    </xdr:from>
    <xdr:to>
      <xdr:col>16</xdr:col>
      <xdr:colOff>594600</xdr:colOff>
      <xdr:row>1</xdr:row>
      <xdr:rowOff>38160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
          <xdr14:nvContentPartPr>
            <xdr14:cNvPr id="100" name="Ink 99">
              <a:extLst>
                <a:ext uri="{FF2B5EF4-FFF2-40B4-BE49-F238E27FC236}">
                  <a16:creationId xmlns:a16="http://schemas.microsoft.com/office/drawing/2014/main" id="{DA2CA2DC-FDC0-48F8-BB03-747F037C26AD}"/>
                </a:ext>
              </a:extLst>
            </xdr14:cNvPr>
            <xdr14:cNvContentPartPr/>
          </xdr14:nvContentPartPr>
          <xdr14:nvPr macro=""/>
          <xdr14:xfrm>
            <a:off x="10347840" y="220680"/>
            <a:ext cx="360" cy="360"/>
          </xdr14:xfrm>
        </xdr:contentPart>
      </mc:Choice>
      <mc:Fallback xmlns="">
        <xdr:pic>
          <xdr:nvPicPr>
            <xdr:cNvPr id="100" name="Ink 99">
              <a:extLst>
                <a:ext uri="{FF2B5EF4-FFF2-40B4-BE49-F238E27FC236}">
                  <a16:creationId xmlns:a16="http://schemas.microsoft.com/office/drawing/2014/main" id="{DA2CA2DC-FDC0-48F8-BB03-747F037C26AD}"/>
                </a:ext>
              </a:extLst>
            </xdr:cNvPr>
            <xdr:cNvPicPr/>
          </xdr:nvPicPr>
          <xdr:blipFill>
            <a:blip xmlns:r="http://schemas.openxmlformats.org/officeDocument/2006/relationships" r:embed="rId189"/>
            <a:stretch>
              <a:fillRect/>
            </a:stretch>
          </xdr:blipFill>
          <xdr:spPr>
            <a:xfrm>
              <a:off x="10339200" y="212040"/>
              <a:ext cx="18000" cy="18000"/>
            </a:xfrm>
            <a:prstGeom prst="rect">
              <a:avLst/>
            </a:prstGeom>
          </xdr:spPr>
        </xdr:pic>
      </mc:Fallback>
    </mc:AlternateContent>
    <xdr:clientData/>
  </xdr:twoCellAnchor>
  <xdr:twoCellAnchor editAs="oneCell">
    <xdr:from>
      <xdr:col>16</xdr:col>
      <xdr:colOff>548520</xdr:colOff>
      <xdr:row>3</xdr:row>
      <xdr:rowOff>129240</xdr:rowOff>
    </xdr:from>
    <xdr:to>
      <xdr:col>16</xdr:col>
      <xdr:colOff>548880</xdr:colOff>
      <xdr:row>3</xdr:row>
      <xdr:rowOff>129600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
          <xdr14:nvContentPartPr>
            <xdr14:cNvPr id="102" name="Ink 101">
              <a:extLst>
                <a:ext uri="{FF2B5EF4-FFF2-40B4-BE49-F238E27FC236}">
                  <a16:creationId xmlns:a16="http://schemas.microsoft.com/office/drawing/2014/main" id="{2C2C2DCC-3FD6-48B8-A70E-A721EE3B3AEB}"/>
                </a:ext>
              </a:extLst>
            </xdr14:cNvPr>
            <xdr14:cNvContentPartPr/>
          </xdr14:nvContentPartPr>
          <xdr14:nvPr macro=""/>
          <xdr14:xfrm>
            <a:off x="10302120" y="677880"/>
            <a:ext cx="360" cy="360"/>
          </xdr14:xfrm>
        </xdr:contentPart>
      </mc:Choice>
      <mc:Fallback xmlns="">
        <xdr:pic>
          <xdr:nvPicPr>
            <xdr:cNvPr id="102" name="Ink 101">
              <a:extLst>
                <a:ext uri="{FF2B5EF4-FFF2-40B4-BE49-F238E27FC236}">
                  <a16:creationId xmlns:a16="http://schemas.microsoft.com/office/drawing/2014/main" id="{2C2C2DCC-3FD6-48B8-A70E-A721EE3B3AEB}"/>
                </a:ext>
              </a:extLst>
            </xdr:cNvPr>
            <xdr:cNvPicPr/>
          </xdr:nvPicPr>
          <xdr:blipFill>
            <a:blip xmlns:r="http://schemas.openxmlformats.org/officeDocument/2006/relationships" r:embed="rId191"/>
            <a:stretch>
              <a:fillRect/>
            </a:stretch>
          </xdr:blipFill>
          <xdr:spPr>
            <a:xfrm>
              <a:off x="10293480" y="669240"/>
              <a:ext cx="18000" cy="18000"/>
            </a:xfrm>
            <a:prstGeom prst="rect">
              <a:avLst/>
            </a:prstGeom>
          </xdr:spPr>
        </xdr:pic>
      </mc:Fallback>
    </mc:AlternateContent>
    <xdr:clientData/>
  </xdr:twoCellAnchor>
  <xdr:twoCellAnchor editAs="oneCell">
    <xdr:from>
      <xdr:col>19</xdr:col>
      <xdr:colOff>563640</xdr:colOff>
      <xdr:row>3</xdr:row>
      <xdr:rowOff>152280</xdr:rowOff>
    </xdr:from>
    <xdr:to>
      <xdr:col>19</xdr:col>
      <xdr:colOff>564000</xdr:colOff>
      <xdr:row>3</xdr:row>
      <xdr:rowOff>152640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
          <xdr14:nvContentPartPr>
            <xdr14:cNvPr id="103" name="Ink 102">
              <a:extLst>
                <a:ext uri="{FF2B5EF4-FFF2-40B4-BE49-F238E27FC236}">
                  <a16:creationId xmlns:a16="http://schemas.microsoft.com/office/drawing/2014/main" id="{A2749BC3-E167-45E9-9FA6-A0AB91F85817}"/>
                </a:ext>
              </a:extLst>
            </xdr14:cNvPr>
            <xdr14:cNvContentPartPr/>
          </xdr14:nvContentPartPr>
          <xdr14:nvPr macro=""/>
          <xdr14:xfrm>
            <a:off x="12146040" y="700920"/>
            <a:ext cx="360" cy="360"/>
          </xdr14:xfrm>
        </xdr:contentPart>
      </mc:Choice>
      <mc:Fallback xmlns="">
        <xdr:pic>
          <xdr:nvPicPr>
            <xdr:cNvPr id="103" name="Ink 102">
              <a:extLst>
                <a:ext uri="{FF2B5EF4-FFF2-40B4-BE49-F238E27FC236}">
                  <a16:creationId xmlns:a16="http://schemas.microsoft.com/office/drawing/2014/main" id="{A2749BC3-E167-45E9-9FA6-A0AB91F85817}"/>
                </a:ext>
              </a:extLst>
            </xdr:cNvPr>
            <xdr:cNvPicPr/>
          </xdr:nvPicPr>
          <xdr:blipFill>
            <a:blip xmlns:r="http://schemas.openxmlformats.org/officeDocument/2006/relationships" r:embed="rId193"/>
            <a:stretch>
              <a:fillRect/>
            </a:stretch>
          </xdr:blipFill>
          <xdr:spPr>
            <a:xfrm>
              <a:off x="12137400" y="692280"/>
              <a:ext cx="18000" cy="18000"/>
            </a:xfrm>
            <a:prstGeom prst="rect">
              <a:avLst/>
            </a:prstGeom>
          </xdr:spPr>
        </xdr:pic>
      </mc:Fallback>
    </mc:AlternateContent>
    <xdr:clientData/>
  </xdr:twoCellAnchor>
  <xdr:twoCellAnchor editAs="oneCell">
    <xdr:from>
      <xdr:col>4</xdr:col>
      <xdr:colOff>563640</xdr:colOff>
      <xdr:row>1</xdr:row>
      <xdr:rowOff>167400</xdr:rowOff>
    </xdr:from>
    <xdr:to>
      <xdr:col>4</xdr:col>
      <xdr:colOff>564000</xdr:colOff>
      <xdr:row>1</xdr:row>
      <xdr:rowOff>167760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
          <xdr14:nvContentPartPr>
            <xdr14:cNvPr id="104" name="Ink 103">
              <a:extLst>
                <a:ext uri="{FF2B5EF4-FFF2-40B4-BE49-F238E27FC236}">
                  <a16:creationId xmlns:a16="http://schemas.microsoft.com/office/drawing/2014/main" id="{6D84A7FA-BC68-4A4D-9E2D-130044DEDAAC}"/>
                </a:ext>
              </a:extLst>
            </xdr14:cNvPr>
            <xdr14:cNvContentPartPr/>
          </xdr14:nvContentPartPr>
          <xdr14:nvPr macro=""/>
          <xdr14:xfrm>
            <a:off x="3002040" y="350280"/>
            <a:ext cx="360" cy="360"/>
          </xdr14:xfrm>
        </xdr:contentPart>
      </mc:Choice>
      <mc:Fallback xmlns="">
        <xdr:pic>
          <xdr:nvPicPr>
            <xdr:cNvPr id="104" name="Ink 103">
              <a:extLst>
                <a:ext uri="{FF2B5EF4-FFF2-40B4-BE49-F238E27FC236}">
                  <a16:creationId xmlns:a16="http://schemas.microsoft.com/office/drawing/2014/main" id="{6D84A7FA-BC68-4A4D-9E2D-130044DEDAAC}"/>
                </a:ext>
              </a:extLst>
            </xdr:cNvPr>
            <xdr:cNvPicPr/>
          </xdr:nvPicPr>
          <xdr:blipFill>
            <a:blip xmlns:r="http://schemas.openxmlformats.org/officeDocument/2006/relationships" r:embed="rId195"/>
            <a:stretch>
              <a:fillRect/>
            </a:stretch>
          </xdr:blipFill>
          <xdr:spPr>
            <a:xfrm>
              <a:off x="2993400" y="341640"/>
              <a:ext cx="18000" cy="18000"/>
            </a:xfrm>
            <a:prstGeom prst="rect">
              <a:avLst/>
            </a:prstGeom>
          </xdr:spPr>
        </xdr:pic>
      </mc:Fallback>
    </mc:AlternateContent>
    <xdr:clientData/>
  </xdr:twoCellAnchor>
  <xdr:twoCellAnchor editAs="oneCell">
    <xdr:from>
      <xdr:col>1</xdr:col>
      <xdr:colOff>167640</xdr:colOff>
      <xdr:row>3</xdr:row>
      <xdr:rowOff>83520</xdr:rowOff>
    </xdr:from>
    <xdr:to>
      <xdr:col>1</xdr:col>
      <xdr:colOff>168000</xdr:colOff>
      <xdr:row>3</xdr:row>
      <xdr:rowOff>83880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
          <xdr14:nvContentPartPr>
            <xdr14:cNvPr id="105" name="Ink 104">
              <a:extLst>
                <a:ext uri="{FF2B5EF4-FFF2-40B4-BE49-F238E27FC236}">
                  <a16:creationId xmlns:a16="http://schemas.microsoft.com/office/drawing/2014/main" id="{74A410CD-3B45-4195-B826-994E906C66DD}"/>
                </a:ext>
              </a:extLst>
            </xdr14:cNvPr>
            <xdr14:cNvContentPartPr/>
          </xdr14:nvContentPartPr>
          <xdr14:nvPr macro=""/>
          <xdr14:xfrm>
            <a:off x="777240" y="632160"/>
            <a:ext cx="360" cy="360"/>
          </xdr14:xfrm>
        </xdr:contentPart>
      </mc:Choice>
      <mc:Fallback xmlns="">
        <xdr:pic>
          <xdr:nvPicPr>
            <xdr:cNvPr id="105" name="Ink 104">
              <a:extLst>
                <a:ext uri="{FF2B5EF4-FFF2-40B4-BE49-F238E27FC236}">
                  <a16:creationId xmlns:a16="http://schemas.microsoft.com/office/drawing/2014/main" id="{74A410CD-3B45-4195-B826-994E906C66DD}"/>
                </a:ext>
              </a:extLst>
            </xdr:cNvPr>
            <xdr:cNvPicPr/>
          </xdr:nvPicPr>
          <xdr:blipFill>
            <a:blip xmlns:r="http://schemas.openxmlformats.org/officeDocument/2006/relationships" r:embed="rId197"/>
            <a:stretch>
              <a:fillRect/>
            </a:stretch>
          </xdr:blipFill>
          <xdr:spPr>
            <a:xfrm>
              <a:off x="768600" y="62352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26.050"/>
    </inkml:context>
    <inkml:brush xml:id="br0">
      <inkml:brushProperty name="width" value="0.05" units="cm"/>
      <inkml:brushProperty name="height" value="0.05" units="cm"/>
      <inkml:brushProperty name="color" value="#B4C3DA"/>
      <inkml:brushProperty name="inkEffects" value="silver"/>
      <inkml:brushProperty name="anchorX" value="0"/>
      <inkml:brushProperty name="anchorY" value="0"/>
      <inkml:brushProperty name="scaleFactor" value="0.5"/>
    </inkml:brush>
  </inkml:definitions>
  <inkml:trace contextRef="#ctx0" brushRef="#br0">1 1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27.604"/>
    </inkml:context>
    <inkml:brush xml:id="br0">
      <inkml:brushProperty name="width" value="0.05" units="cm"/>
      <inkml:brushProperty name="height" value="0.05" units="cm"/>
      <inkml:brushProperty name="color" value="#B4C3DA"/>
      <inkml:brushProperty name="inkEffects" value="silver"/>
      <inkml:brushProperty name="anchorX" value="-1016"/>
      <inkml:brushProperty name="anchorY" value="-1016"/>
      <inkml:brushProperty name="scaleFactor" value="0.5"/>
    </inkml:brush>
  </inkml:definitions>
  <inkml:trace contextRef="#ctx0" brushRef="#br0">1 1 24575,'0'0'0,"0"3"0,0 6 0,0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29.058"/>
    </inkml:context>
    <inkml:brush xml:id="br0">
      <inkml:brushProperty name="width" value="0.05" units="cm"/>
      <inkml:brushProperty name="height" value="0.05" units="cm"/>
      <inkml:brushProperty name="color" value="#B4C3DA"/>
      <inkml:brushProperty name="inkEffects" value="silver"/>
      <inkml:brushProperty name="anchorX" value="-2032"/>
      <inkml:brushProperty name="anchorY" value="-2053.32593"/>
      <inkml:brushProperty name="scaleFactor" value="0.5"/>
    </inkml:brush>
  </inkml:definitions>
  <inkml:trace contextRef="#ctx0" brushRef="#br0">1 1 24575,'0'0'0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33.790"/>
    </inkml:context>
    <inkml:brush xml:id="br0">
      <inkml:brushProperty name="width" value="0.05" units="cm"/>
      <inkml:brushProperty name="height" value="0.05" units="cm"/>
      <inkml:brushProperty name="color" value="#B4C3DA"/>
      <inkml:brushProperty name="inkEffects" value="silver"/>
      <inkml:brushProperty name="anchorX" value="-3048"/>
      <inkml:brushProperty name="anchorY" value="-3069.32593"/>
      <inkml:brushProperty name="scaleFactor" value="0.5"/>
    </inkml:brush>
  </inkml:definitions>
  <inkml:trace contextRef="#ctx0" brushRef="#br0">1 1 24575,'0'0'0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35.196"/>
    </inkml:context>
    <inkml:brush xml:id="br0">
      <inkml:brushProperty name="width" value="0.05" units="cm"/>
      <inkml:brushProperty name="height" value="0.05" units="cm"/>
      <inkml:brushProperty name="color" value="#B4C3DA"/>
      <inkml:brushProperty name="inkEffects" value="silver"/>
      <inkml:brushProperty name="anchorX" value="-4064"/>
      <inkml:brushProperty name="anchorY" value="-4085.32617"/>
      <inkml:brushProperty name="scaleFactor" value="0.5"/>
    </inkml:brush>
  </inkml:definitions>
  <inkml:trace contextRef="#ctx0" brushRef="#br0">1 1 24575,'0'0'0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35.969"/>
    </inkml:context>
    <inkml:brush xml:id="br0">
      <inkml:brushProperty name="width" value="0.05" units="cm"/>
      <inkml:brushProperty name="height" value="0.05" units="cm"/>
      <inkml:brushProperty name="color" value="#B4C3DA"/>
      <inkml:brushProperty name="inkEffects" value="silver"/>
      <inkml:brushProperty name="anchorX" value="-5080"/>
      <inkml:brushProperty name="anchorY" value="-5101.32617"/>
      <inkml:brushProperty name="scaleFactor" value="0.5"/>
    </inkml:brush>
  </inkml:definitions>
  <inkml:trace contextRef="#ctx0" brushRef="#br0">1 1 24575,'0'0'0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37.931"/>
    </inkml:context>
    <inkml:brush xml:id="br0">
      <inkml:brushProperty name="width" value="0.05" units="cm"/>
      <inkml:brushProperty name="height" value="0.05" units="cm"/>
      <inkml:brushProperty name="color" value="#B4C3DA"/>
      <inkml:brushProperty name="inkEffects" value="silver"/>
      <inkml:brushProperty name="anchorX" value="-6096"/>
      <inkml:brushProperty name="anchorY" value="-6117.32568"/>
      <inkml:brushProperty name="scaleFactor" value="0.5"/>
    </inkml:brush>
  </inkml:definitions>
  <inkml:trace contextRef="#ctx0" brushRef="#br0">1 1 24575,'0'0'0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38.805"/>
    </inkml:context>
    <inkml:brush xml:id="br0">
      <inkml:brushProperty name="width" value="0.05" units="cm"/>
      <inkml:brushProperty name="height" value="0.05" units="cm"/>
      <inkml:brushProperty name="color" value="#B4C3DA"/>
      <inkml:brushProperty name="inkEffects" value="silver"/>
      <inkml:brushProperty name="anchorX" value="-7112"/>
      <inkml:brushProperty name="anchorY" value="-7133.32568"/>
      <inkml:brushProperty name="scaleFactor" value="0.5"/>
    </inkml:brush>
  </inkml:definitions>
  <inkml:trace contextRef="#ctx0" brushRef="#br0">1 1 24575,'0'0'0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39.601"/>
    </inkml:context>
    <inkml:brush xml:id="br0">
      <inkml:brushProperty name="width" value="0.05" units="cm"/>
      <inkml:brushProperty name="height" value="0.05" units="cm"/>
      <inkml:brushProperty name="color" value="#B4C3DA"/>
      <inkml:brushProperty name="inkEffects" value="silver"/>
      <inkml:brushProperty name="anchorX" value="-8128"/>
      <inkml:brushProperty name="anchorY" value="-8149.32568"/>
      <inkml:brushProperty name="scaleFactor" value="0.5"/>
    </inkml:brush>
  </inkml:definitions>
  <inkml:trace contextRef="#ctx0" brushRef="#br0">1 1 24575,'0'0'0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41.518"/>
    </inkml:context>
    <inkml:brush xml:id="br0">
      <inkml:brushProperty name="width" value="0.05" units="cm"/>
      <inkml:brushProperty name="height" value="0.05" units="cm"/>
      <inkml:brushProperty name="color" value="#B4C3DA"/>
      <inkml:brushProperty name="inkEffects" value="silver"/>
      <inkml:brushProperty name="anchorX" value="-9144"/>
      <inkml:brushProperty name="anchorY" value="-9165.32617"/>
      <inkml:brushProperty name="scaleFactor" value="0.5"/>
    </inkml:brush>
  </inkml:definitions>
  <inkml:trace contextRef="#ctx0" brushRef="#br0">1 1 24575,'0'0'0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42.252"/>
    </inkml:context>
    <inkml:brush xml:id="br0">
      <inkml:brushProperty name="width" value="0.05" units="cm"/>
      <inkml:brushProperty name="height" value="0.05" units="cm"/>
      <inkml:brushProperty name="color" value="#B4C3DA"/>
      <inkml:brushProperty name="inkEffects" value="silver"/>
      <inkml:brushProperty name="anchorX" value="-10160"/>
      <inkml:brushProperty name="anchorY" value="-10181.32617"/>
      <inkml:brushProperty name="scaleFactor" value="0.5"/>
    </inkml:brush>
  </inkml:definitions>
  <inkml:trace contextRef="#ctx0" brushRef="#br0">1 1 24575,'0'0'0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44.377"/>
    </inkml:context>
    <inkml:brush xml:id="br0">
      <inkml:brushProperty name="width" value="0.05" units="cm"/>
      <inkml:brushProperty name="height" value="0.05" units="cm"/>
      <inkml:brushProperty name="color" value="#B4C3DA"/>
      <inkml:brushProperty name="inkEffects" value="silver"/>
      <inkml:brushProperty name="anchorX" value="-11176"/>
      <inkml:brushProperty name="anchorY" value="-11197.32617"/>
      <inkml:brushProperty name="scaleFactor" value="0.5"/>
    </inkml:brush>
  </inkml:definitions>
  <inkml:trace contextRef="#ctx0" brushRef="#br0">1 1 24575,'0'0'0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46.307"/>
    </inkml:context>
    <inkml:brush xml:id="br0">
      <inkml:brushProperty name="width" value="0.05" units="cm"/>
      <inkml:brushProperty name="height" value="0.05" units="cm"/>
      <inkml:brushProperty name="color" value="#B4C3DA"/>
      <inkml:brushProperty name="inkEffects" value="silver"/>
      <inkml:brushProperty name="anchorX" value="-12192"/>
      <inkml:brushProperty name="anchorY" value="-12213.32617"/>
      <inkml:brushProperty name="scaleFactor" value="0.5"/>
    </inkml:brush>
  </inkml:definitions>
  <inkml:trace contextRef="#ctx0" brushRef="#br0">1 1 24575,'0'0'0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47.042"/>
    </inkml:context>
    <inkml:brush xml:id="br0">
      <inkml:brushProperty name="width" value="0.05" units="cm"/>
      <inkml:brushProperty name="height" value="0.05" units="cm"/>
      <inkml:brushProperty name="color" value="#B4C3DA"/>
      <inkml:brushProperty name="inkEffects" value="silver"/>
      <inkml:brushProperty name="anchorX" value="-13208"/>
      <inkml:brushProperty name="anchorY" value="-13229.32715"/>
      <inkml:brushProperty name="scaleFactor" value="0.5"/>
    </inkml:brush>
  </inkml:definitions>
  <inkml:trace contextRef="#ctx0" brushRef="#br0">1 1 24575,'0'0'0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47.843"/>
    </inkml:context>
    <inkml:brush xml:id="br0">
      <inkml:brushProperty name="width" value="0.05" units="cm"/>
      <inkml:brushProperty name="height" value="0.05" units="cm"/>
      <inkml:brushProperty name="color" value="#B4C3DA"/>
      <inkml:brushProperty name="inkEffects" value="silver"/>
      <inkml:brushProperty name="anchorX" value="-14224"/>
      <inkml:brushProperty name="anchorY" value="-14245.32715"/>
      <inkml:brushProperty name="scaleFactor" value="0.5"/>
    </inkml:brush>
  </inkml:definitions>
  <inkml:trace contextRef="#ctx0" brushRef="#br0">1 1 24575,'0'0'0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53.795"/>
    </inkml:context>
    <inkml:brush xml:id="br0">
      <inkml:brushProperty name="width" value="0.05" units="cm"/>
      <inkml:brushProperty name="height" value="0.05" units="cm"/>
      <inkml:brushProperty name="color" value="#B4C3DA"/>
      <inkml:brushProperty name="inkEffects" value="silver"/>
      <inkml:brushProperty name="anchorX" value="-13532.82031"/>
      <inkml:brushProperty name="anchorY" value="-19835.21875"/>
      <inkml:brushProperty name="scaleFactor" value="0.5"/>
    </inkml:brush>
  </inkml:definitions>
  <inkml:trace contextRef="#ctx0" brushRef="#br0">1 1 24575,'0'0'0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56.105"/>
    </inkml:context>
    <inkml:brush xml:id="br0">
      <inkml:brushProperty name="width" value="0.05" units="cm"/>
      <inkml:brushProperty name="height" value="0.05" units="cm"/>
      <inkml:brushProperty name="color" value="#B4C3DA"/>
      <inkml:brushProperty name="inkEffects" value="silver"/>
      <inkml:brushProperty name="anchorX" value="-14548.82031"/>
      <inkml:brushProperty name="anchorY" value="-20851.21875"/>
      <inkml:brushProperty name="scaleFactor" value="0.5"/>
    </inkml:brush>
  </inkml:definitions>
  <inkml:trace contextRef="#ctx0" brushRef="#br0">1572 1 24575,'0'0'0,"-4"3"0,-14 10 0,-24 17 0,-35 25 0,-27 15 0,-34 16 0,-15 6 0,-5-2 0,15-4 0,16-11 0,23-14 0,21-10 0,18-10 0,8-8 0,12-7 0,9-3 0,7-7 0,5 3 0,3-4 0,1 1 0,1 1 0,-1-4 0,1 1 0,-1-2 0,3 0 0,1 2 0,4-2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57.429"/>
    </inkml:context>
    <inkml:brush xml:id="br0">
      <inkml:brushProperty name="width" value="0.05" units="cm"/>
      <inkml:brushProperty name="height" value="0.05" units="cm"/>
      <inkml:brushProperty name="color" value="#B4C3DA"/>
      <inkml:brushProperty name="inkEffects" value="silver"/>
      <inkml:brushProperty name="anchorX" value="-11961.875"/>
      <inkml:brushProperty name="anchorY" value="-20831.06445"/>
      <inkml:brushProperty name="scaleFactor" value="0.5"/>
    </inkml:brush>
  </inkml:definitions>
  <inkml:trace contextRef="#ctx0" brushRef="#br0">1 1 24575,'0'0'0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58.339"/>
    </inkml:context>
    <inkml:brush xml:id="br0">
      <inkml:brushProperty name="width" value="0.05" units="cm"/>
      <inkml:brushProperty name="height" value="0.05" units="cm"/>
      <inkml:brushProperty name="color" value="#B4C3DA"/>
      <inkml:brushProperty name="inkEffects" value="silver"/>
      <inkml:brushProperty name="anchorX" value="-12977.875"/>
      <inkml:brushProperty name="anchorY" value="-21847.06641"/>
      <inkml:brushProperty name="scaleFactor" value="0.5"/>
    </inkml:brush>
  </inkml:definitions>
  <inkml:trace contextRef="#ctx0" brushRef="#br0">1 1 24575,'0'0'0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39:59.068"/>
    </inkml:context>
    <inkml:brush xml:id="br0">
      <inkml:brushProperty name="width" value="0.05" units="cm"/>
      <inkml:brushProperty name="height" value="0.05" units="cm"/>
      <inkml:brushProperty name="color" value="#B4C3DA"/>
      <inkml:brushProperty name="inkEffects" value="silver"/>
      <inkml:brushProperty name="anchorX" value="-13993.875"/>
      <inkml:brushProperty name="anchorY" value="-22863.06641"/>
      <inkml:brushProperty name="scaleFactor" value="0.5"/>
    </inkml:brush>
  </inkml:definitions>
  <inkml:trace contextRef="#ctx0" brushRef="#br0">1 1 24575,'0'0'0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01.135"/>
    </inkml:context>
    <inkml:brush xml:id="br0">
      <inkml:brushProperty name="width" value="0.05" units="cm"/>
      <inkml:brushProperty name="height" value="0.05" units="cm"/>
      <inkml:brushProperty name="color" value="#B4C3DA"/>
      <inkml:brushProperty name="inkEffects" value="silver"/>
      <inkml:brushProperty name="anchorX" value="-15009.875"/>
      <inkml:brushProperty name="anchorY" value="-23879.06641"/>
      <inkml:brushProperty name="scaleFactor" value="0.5"/>
    </inkml:brush>
  </inkml:definitions>
  <inkml:trace contextRef="#ctx0" brushRef="#br0">1 1 24575,'0'0'0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02.030"/>
    </inkml:context>
    <inkml:brush xml:id="br0">
      <inkml:brushProperty name="width" value="0.05" units="cm"/>
      <inkml:brushProperty name="height" value="0.05" units="cm"/>
      <inkml:brushProperty name="color" value="#B4C3DA"/>
      <inkml:brushProperty name="inkEffects" value="silver"/>
      <inkml:brushProperty name="anchorX" value="-16025.875"/>
      <inkml:brushProperty name="anchorY" value="-24895.06641"/>
      <inkml:brushProperty name="scaleFactor" value="0.5"/>
    </inkml:brush>
  </inkml:definitions>
  <inkml:trace contextRef="#ctx0" brushRef="#br0">1 1 24575,'0'0'0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03.165"/>
    </inkml:context>
    <inkml:brush xml:id="br0">
      <inkml:brushProperty name="width" value="0.05" units="cm"/>
      <inkml:brushProperty name="height" value="0.05" units="cm"/>
      <inkml:brushProperty name="color" value="#B4C3DA"/>
      <inkml:brushProperty name="inkEffects" value="silver"/>
      <inkml:brushProperty name="anchorX" value="-17041.875"/>
      <inkml:brushProperty name="anchorY" value="-25911.06641"/>
      <inkml:brushProperty name="scaleFactor" value="0.5"/>
    </inkml:brush>
  </inkml:definitions>
  <inkml:trace contextRef="#ctx0" brushRef="#br0">1 1 24575,'0'0'0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04.409"/>
    </inkml:context>
    <inkml:brush xml:id="br0">
      <inkml:brushProperty name="width" value="0.05" units="cm"/>
      <inkml:brushProperty name="height" value="0.05" units="cm"/>
      <inkml:brushProperty name="color" value="#B4C3DA"/>
      <inkml:brushProperty name="inkEffects" value="silver"/>
      <inkml:brushProperty name="anchorX" value="-18057.875"/>
      <inkml:brushProperty name="anchorY" value="-26927.06641"/>
      <inkml:brushProperty name="scaleFactor" value="0.5"/>
    </inkml:brush>
  </inkml:definitions>
  <inkml:trace contextRef="#ctx0" brushRef="#br0">1 1 24575,'0'0'0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05.290"/>
    </inkml:context>
    <inkml:brush xml:id="br0">
      <inkml:brushProperty name="width" value="0.05" units="cm"/>
      <inkml:brushProperty name="height" value="0.05" units="cm"/>
      <inkml:brushProperty name="color" value="#B4C3DA"/>
      <inkml:brushProperty name="inkEffects" value="silver"/>
      <inkml:brushProperty name="anchorX" value="-19073.875"/>
      <inkml:brushProperty name="anchorY" value="-27943.06641"/>
      <inkml:brushProperty name="scaleFactor" value="0.5"/>
    </inkml:brush>
  </inkml:definitions>
  <inkml:trace contextRef="#ctx0" brushRef="#br0">1 1 24575,'0'0'0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06.343"/>
    </inkml:context>
    <inkml:brush xml:id="br0">
      <inkml:brushProperty name="width" value="0.05" units="cm"/>
      <inkml:brushProperty name="height" value="0.05" units="cm"/>
      <inkml:brushProperty name="color" value="#B4C3DA"/>
      <inkml:brushProperty name="inkEffects" value="silver"/>
      <inkml:brushProperty name="anchorX" value="-20089.875"/>
      <inkml:brushProperty name="anchorY" value="-28959.06641"/>
      <inkml:brushProperty name="scaleFactor" value="0.5"/>
    </inkml:brush>
  </inkml:definitions>
  <inkml:trace contextRef="#ctx0" brushRef="#br0">1 1 24575,'0'0'0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08.458"/>
    </inkml:context>
    <inkml:brush xml:id="br0">
      <inkml:brushProperty name="width" value="0.05" units="cm"/>
      <inkml:brushProperty name="height" value="0.05" units="cm"/>
      <inkml:brushProperty name="color" value="#B4C3DA"/>
      <inkml:brushProperty name="inkEffects" value="silver"/>
      <inkml:brushProperty name="anchorX" value="-21105.875"/>
      <inkml:brushProperty name="anchorY" value="-29975.06641"/>
      <inkml:brushProperty name="scaleFactor" value="0.5"/>
    </inkml:brush>
  </inkml:definitions>
  <inkml:trace contextRef="#ctx0" brushRef="#br0">1 1 24575,'0'0'0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09.307"/>
    </inkml:context>
    <inkml:brush xml:id="br0">
      <inkml:brushProperty name="width" value="0.05" units="cm"/>
      <inkml:brushProperty name="height" value="0.05" units="cm"/>
      <inkml:brushProperty name="color" value="#B4C3DA"/>
      <inkml:brushProperty name="inkEffects" value="silver"/>
      <inkml:brushProperty name="anchorX" value="-22121.875"/>
      <inkml:brushProperty name="anchorY" value="-30991.06641"/>
      <inkml:brushProperty name="scaleFactor" value="0.5"/>
    </inkml:brush>
  </inkml:definitions>
  <inkml:trace contextRef="#ctx0" brushRef="#br0">1 0 24575,'0'0'0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10.467"/>
    </inkml:context>
    <inkml:brush xml:id="br0">
      <inkml:brushProperty name="width" value="0.05" units="cm"/>
      <inkml:brushProperty name="height" value="0.05" units="cm"/>
      <inkml:brushProperty name="color" value="#B4C3DA"/>
      <inkml:brushProperty name="inkEffects" value="silver"/>
      <inkml:brushProperty name="anchorX" value="-23137.875"/>
      <inkml:brushProperty name="anchorY" value="-32007.06641"/>
      <inkml:brushProperty name="scaleFactor" value="0.5"/>
    </inkml:brush>
  </inkml:definitions>
  <inkml:trace contextRef="#ctx0" brushRef="#br0">1 1 24575,'0'0'0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11.258"/>
    </inkml:context>
    <inkml:brush xml:id="br0">
      <inkml:brushProperty name="width" value="0.05" units="cm"/>
      <inkml:brushProperty name="height" value="0.05" units="cm"/>
      <inkml:brushProperty name="color" value="#B4C3DA"/>
      <inkml:brushProperty name="inkEffects" value="silver"/>
      <inkml:brushProperty name="anchorX" value="-24153.875"/>
      <inkml:brushProperty name="anchorY" value="-33023.06641"/>
      <inkml:brushProperty name="scaleFactor" value="0.5"/>
    </inkml:brush>
  </inkml:definitions>
  <inkml:trace contextRef="#ctx0" brushRef="#br0">1 1 24575,'0'0'0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12.406"/>
    </inkml:context>
    <inkml:brush xml:id="br0">
      <inkml:brushProperty name="width" value="0.05" units="cm"/>
      <inkml:brushProperty name="height" value="0.05" units="cm"/>
      <inkml:brushProperty name="color" value="#B4C3DA"/>
      <inkml:brushProperty name="inkEffects" value="silver"/>
      <inkml:brushProperty name="anchorX" value="-25169.875"/>
      <inkml:brushProperty name="anchorY" value="-34039.06641"/>
      <inkml:brushProperty name="scaleFactor" value="0.5"/>
    </inkml:brush>
  </inkml:definitions>
  <inkml:trace contextRef="#ctx0" brushRef="#br0">1 1 24575,'0'0'0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13.156"/>
    </inkml:context>
    <inkml:brush xml:id="br0">
      <inkml:brushProperty name="width" value="0.05" units="cm"/>
      <inkml:brushProperty name="height" value="0.05" units="cm"/>
      <inkml:brushProperty name="color" value="#B4C3DA"/>
      <inkml:brushProperty name="inkEffects" value="silver"/>
      <inkml:brushProperty name="anchorX" value="-26185.875"/>
      <inkml:brushProperty name="anchorY" value="-35055.06641"/>
      <inkml:brushProperty name="scaleFactor" value="0.5"/>
    </inkml:brush>
  </inkml:definitions>
  <inkml:trace contextRef="#ctx0" brushRef="#br0">1 1 24575,'0'0'0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0:49.645"/>
    </inkml:context>
    <inkml:brush xml:id="br0">
      <inkml:brushProperty name="width" value="0.05" units="cm"/>
      <inkml:brushProperty name="height" value="0.05" units="cm"/>
      <inkml:brushProperty name="color" value="#B4C3DA"/>
      <inkml:brushProperty name="inkEffects" value="silver"/>
      <inkml:brushProperty name="anchorX" value="-27518.64648"/>
      <inkml:brushProperty name="anchorY" value="-34874.00781"/>
      <inkml:brushProperty name="scaleFactor" value="0.5"/>
    </inkml:brush>
  </inkml:definitions>
  <inkml:trace contextRef="#ctx0" brushRef="#br0">651 1 24575,'0'0'0,"-4"0"0,-6 0 0,-3 4 0,-3 0 0,1 5 0,-1-1 0,-1 3 0,-2-1 0,0-2 0,-2 1 0,0-1 0,0-2 0,4 3 0,0 2 0,0-1 0,-1-2 0,4 3 0,-1-3 0,-1-1 0,3 2 0,-6-2 0,0 3 0,-7-2 0,0 3 0,-1-2 0,2 3 0,0-3 0,2-1 0,0-3 0,2-2 0,-1 3 0,5 3 0,1 0 0,4 3 0,-1-2 0,3 3 0,2-3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2:01.094"/>
    </inkml:context>
    <inkml:brush xml:id="br0">
      <inkml:brushProperty name="width" value="0.05" units="cm"/>
      <inkml:brushProperty name="height" value="0.05" units="cm"/>
      <inkml:brushProperty name="color" value="#B4C3DA"/>
      <inkml:brushProperty name="inkEffects" value="silver"/>
      <inkml:brushProperty name="anchorX" value="-42015.15234"/>
      <inkml:brushProperty name="anchorY" value="-55581.40625"/>
      <inkml:brushProperty name="scaleFactor" value="0.5"/>
    </inkml:brush>
  </inkml:definitions>
  <inkml:trace contextRef="#ctx0" brushRef="#br0">1 1 24575,'0'0'0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2:04.663"/>
    </inkml:context>
    <inkml:brush xml:id="br0">
      <inkml:brushProperty name="width" value="0.05" units="cm"/>
      <inkml:brushProperty name="height" value="0.05" units="cm"/>
      <inkml:brushProperty name="color" value="#B4C3DA"/>
      <inkml:brushProperty name="inkEffects" value="silver"/>
      <inkml:brushProperty name="anchorX" value="-43031.15234"/>
      <inkml:brushProperty name="anchorY" value="-56597.40625"/>
      <inkml:brushProperty name="scaleFactor" value="0.5"/>
    </inkml:brush>
  </inkml:definitions>
  <inkml:trace contextRef="#ctx0" brushRef="#br0">1 1 24575,'0'0'0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2:16.281"/>
    </inkml:context>
    <inkml:brush xml:id="br0">
      <inkml:brushProperty name="width" value="0.05" units="cm"/>
      <inkml:brushProperty name="height" value="0.05" units="cm"/>
      <inkml:brushProperty name="color" value="#B4C3DA"/>
      <inkml:brushProperty name="inkEffects" value="silver"/>
      <inkml:brushProperty name="anchorX" value="-48337.62891"/>
      <inkml:brushProperty name="anchorY" value="-58311.39453"/>
      <inkml:brushProperty name="scaleFactor" value="0.5"/>
    </inkml:brush>
  </inkml:definitions>
  <inkml:trace contextRef="#ctx0" brushRef="#br0">1 1 24575,'0'0'0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5:43:22.328"/>
    </inkml:context>
    <inkml:brush xml:id="br0">
      <inkml:brushProperty name="width" value="0.05" units="cm"/>
      <inkml:brushProperty name="height" value="0.05" units="cm"/>
      <inkml:brushProperty name="color" value="#B4C3DA"/>
      <inkml:brushProperty name="inkEffects" value="silver"/>
      <inkml:brushProperty name="anchorX" value="-49353.62891"/>
      <inkml:brushProperty name="anchorY" value="-59327.39453"/>
      <inkml:brushProperty name="scaleFactor" value="0.5"/>
    </inkml:brush>
  </inkml:definitions>
  <inkml:trace contextRef="#ctx0" brushRef="#br0">1 1 24575,'0'0'0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27T05:44:23.280"/>
    </inkml:context>
    <inkml:brush xml:id="br0">
      <inkml:brushProperty name="width" value="0.1" units="cm"/>
      <inkml:brushProperty name="height" value="0.6" units="cm"/>
      <inkml:brushProperty name="ignorePressure" value="1"/>
      <inkml:brushProperty name="inkEffects" value="pencil"/>
    </inkml:brush>
  </inkml:definitions>
  <inkml:trace contextRef="#ctx0" brushRef="#br0">1 1,'0'0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27T05:44:25.965"/>
    </inkml:context>
    <inkml:brush xml:id="br0">
      <inkml:brushProperty name="width" value="0.1" units="cm"/>
      <inkml:brushProperty name="height" value="0.6" units="cm"/>
      <inkml:brushProperty name="ignorePressure" value="1"/>
      <inkml:brushProperty name="inkEffects" value="pencil"/>
    </inkml:brush>
  </inkml:definitions>
  <inkml:trace contextRef="#ctx0" brushRef="#br0">1 1,'0'0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5:48.185"/>
    </inkml:context>
    <inkml:brush xml:id="br0">
      <inkml:brushProperty name="width" value="0.05" units="cm"/>
      <inkml:brushProperty name="height" value="0.05" units="cm"/>
      <inkml:brushProperty name="color" value="#B4C3DA"/>
      <inkml:brushProperty name="inkEffects" value="silver"/>
      <inkml:brushProperty name="anchorX" value="0"/>
      <inkml:brushProperty name="anchorY" value="0"/>
      <inkml:brushProperty name="scaleFactor" value="0.5"/>
    </inkml:brush>
  </inkml:definitions>
  <inkml:trace contextRef="#ctx0" brushRef="#br0">1 1 24575,'0'0'0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5:48.937"/>
    </inkml:context>
    <inkml:brush xml:id="br0">
      <inkml:brushProperty name="width" value="0.05" units="cm"/>
      <inkml:brushProperty name="height" value="0.05" units="cm"/>
      <inkml:brushProperty name="color" value="#B4C3DA"/>
      <inkml:brushProperty name="inkEffects" value="silver"/>
      <inkml:brushProperty name="anchorX" value="-1016"/>
      <inkml:brushProperty name="anchorY" value="-1016"/>
      <inkml:brushProperty name="scaleFactor" value="0.5"/>
    </inkml:brush>
  </inkml:definitions>
  <inkml:trace contextRef="#ctx0" brushRef="#br0">1 1 24575,'0'0'0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5:49.640"/>
    </inkml:context>
    <inkml:brush xml:id="br0">
      <inkml:brushProperty name="width" value="0.05" units="cm"/>
      <inkml:brushProperty name="height" value="0.05" units="cm"/>
      <inkml:brushProperty name="color" value="#B4C3DA"/>
      <inkml:brushProperty name="inkEffects" value="silver"/>
      <inkml:brushProperty name="anchorX" value="-2032"/>
      <inkml:brushProperty name="anchorY" value="-2032"/>
      <inkml:brushProperty name="scaleFactor" value="0.5"/>
    </inkml:brush>
  </inkml:definitions>
  <inkml:trace contextRef="#ctx0" brushRef="#br0">1 1 24575,'0'0'0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5:50.281"/>
    </inkml:context>
    <inkml:brush xml:id="br0">
      <inkml:brushProperty name="width" value="0.05" units="cm"/>
      <inkml:brushProperty name="height" value="0.05" units="cm"/>
      <inkml:brushProperty name="color" value="#B4C3DA"/>
      <inkml:brushProperty name="inkEffects" value="silver"/>
      <inkml:brushProperty name="anchorX" value="-3048"/>
      <inkml:brushProperty name="anchorY" value="-3048"/>
      <inkml:brushProperty name="scaleFactor" value="0.5"/>
    </inkml:brush>
  </inkml:definitions>
  <inkml:trace contextRef="#ctx0" brushRef="#br0">1 1 24575,'0'0'0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5:51.013"/>
    </inkml:context>
    <inkml:brush xml:id="br0">
      <inkml:brushProperty name="width" value="0.05" units="cm"/>
      <inkml:brushProperty name="height" value="0.05" units="cm"/>
      <inkml:brushProperty name="color" value="#B4C3DA"/>
      <inkml:brushProperty name="inkEffects" value="silver"/>
      <inkml:brushProperty name="anchorX" value="-4064"/>
      <inkml:brushProperty name="anchorY" value="-4064"/>
      <inkml:brushProperty name="scaleFactor" value="0.5"/>
    </inkml:brush>
  </inkml:definitions>
  <inkml:trace contextRef="#ctx0" brushRef="#br0">1 1 24575,'0'0'0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5:51.636"/>
    </inkml:context>
    <inkml:brush xml:id="br0">
      <inkml:brushProperty name="width" value="0.05" units="cm"/>
      <inkml:brushProperty name="height" value="0.05" units="cm"/>
      <inkml:brushProperty name="color" value="#B4C3DA"/>
      <inkml:brushProperty name="inkEffects" value="silver"/>
      <inkml:brushProperty name="anchorX" value="-5080"/>
      <inkml:brushProperty name="anchorY" value="-5080"/>
      <inkml:brushProperty name="scaleFactor" value="0.5"/>
    </inkml:brush>
  </inkml:definitions>
  <inkml:trace contextRef="#ctx0" brushRef="#br0">1 1 24575,'0'0'0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5:52.318"/>
    </inkml:context>
    <inkml:brush xml:id="br0">
      <inkml:brushProperty name="width" value="0.05" units="cm"/>
      <inkml:brushProperty name="height" value="0.05" units="cm"/>
      <inkml:brushProperty name="color" value="#B4C3DA"/>
      <inkml:brushProperty name="inkEffects" value="silver"/>
      <inkml:brushProperty name="anchorX" value="-6096"/>
      <inkml:brushProperty name="anchorY" value="-6096"/>
      <inkml:brushProperty name="scaleFactor" value="0.5"/>
    </inkml:brush>
  </inkml:definitions>
  <inkml:trace contextRef="#ctx0" brushRef="#br0">1 1 24575,'0'0'0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5:53.005"/>
    </inkml:context>
    <inkml:brush xml:id="br0">
      <inkml:brushProperty name="width" value="0.05" units="cm"/>
      <inkml:brushProperty name="height" value="0.05" units="cm"/>
      <inkml:brushProperty name="color" value="#B4C3DA"/>
      <inkml:brushProperty name="inkEffects" value="silver"/>
      <inkml:brushProperty name="anchorX" value="-7112"/>
      <inkml:brushProperty name="anchorY" value="-7112"/>
      <inkml:brushProperty name="scaleFactor" value="0.5"/>
    </inkml:brush>
  </inkml:definitions>
  <inkml:trace contextRef="#ctx0" brushRef="#br0">1 1 24575,'0'0'0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02.530"/>
    </inkml:context>
    <inkml:brush xml:id="br0">
      <inkml:brushProperty name="width" value="0.05" units="cm"/>
      <inkml:brushProperty name="height" value="0.05" units="cm"/>
      <inkml:brushProperty name="color" value="#B4C3DA"/>
      <inkml:brushProperty name="inkEffects" value="silver"/>
      <inkml:brushProperty name="anchorX" value="4845.33252"/>
      <inkml:brushProperty name="anchorY" value="-5421.1499"/>
      <inkml:brushProperty name="scaleFactor" value="0.5"/>
    </inkml:brush>
  </inkml:definitions>
  <inkml:trace contextRef="#ctx0" brushRef="#br0">1 1 24575,'0'0'0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03.242"/>
    </inkml:context>
    <inkml:brush xml:id="br0">
      <inkml:brushProperty name="width" value="0.05" units="cm"/>
      <inkml:brushProperty name="height" value="0.05" units="cm"/>
      <inkml:brushProperty name="color" value="#B4C3DA"/>
      <inkml:brushProperty name="inkEffects" value="silver"/>
      <inkml:brushProperty name="anchorX" value="3829.33252"/>
      <inkml:brushProperty name="anchorY" value="-6437.1499"/>
      <inkml:brushProperty name="scaleFactor" value="0.5"/>
    </inkml:brush>
  </inkml:definitions>
  <inkml:trace contextRef="#ctx0" brushRef="#br0">1 1 24575,'0'0'0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04.690"/>
    </inkml:context>
    <inkml:brush xml:id="br0">
      <inkml:brushProperty name="width" value="0.05" units="cm"/>
      <inkml:brushProperty name="height" value="0.05" units="cm"/>
      <inkml:brushProperty name="color" value="#B4C3DA"/>
      <inkml:brushProperty name="inkEffects" value="silver"/>
      <inkml:brushProperty name="anchorX" value="2813.33228"/>
      <inkml:brushProperty name="anchorY" value="-7453.1499"/>
      <inkml:brushProperty name="scaleFactor" value="0.5"/>
    </inkml:brush>
  </inkml:definitions>
  <inkml:trace contextRef="#ctx0" brushRef="#br0">1 1 24575,'0'0'0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10.457"/>
    </inkml:context>
    <inkml:brush xml:id="br0">
      <inkml:brushProperty name="width" value="0.05" units="cm"/>
      <inkml:brushProperty name="height" value="0.05" units="cm"/>
      <inkml:brushProperty name="color" value="#B4C3DA"/>
      <inkml:brushProperty name="inkEffects" value="silver"/>
      <inkml:brushProperty name="anchorX" value="1797.33228"/>
      <inkml:brushProperty name="anchorY" value="-8469.15039"/>
      <inkml:brushProperty name="scaleFactor" value="0.5"/>
    </inkml:brush>
  </inkml:definitions>
  <inkml:trace contextRef="#ctx0" brushRef="#br0">1 1 24575,'0'0'0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11.157"/>
    </inkml:context>
    <inkml:brush xml:id="br0">
      <inkml:brushProperty name="width" value="0.05" units="cm"/>
      <inkml:brushProperty name="height" value="0.05" units="cm"/>
      <inkml:brushProperty name="color" value="#B4C3DA"/>
      <inkml:brushProperty name="inkEffects" value="silver"/>
      <inkml:brushProperty name="anchorX" value="781.33221"/>
      <inkml:brushProperty name="anchorY" value="-9485.15039"/>
      <inkml:brushProperty name="scaleFactor" value="0.5"/>
    </inkml:brush>
  </inkml:definitions>
  <inkml:trace contextRef="#ctx0" brushRef="#br0">1 1 24575,'0'0'0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12.092"/>
    </inkml:context>
    <inkml:brush xml:id="br0">
      <inkml:brushProperty name="width" value="0.05" units="cm"/>
      <inkml:brushProperty name="height" value="0.05" units="cm"/>
      <inkml:brushProperty name="color" value="#B4C3DA"/>
      <inkml:brushProperty name="inkEffects" value="silver"/>
      <inkml:brushProperty name="anchorX" value="-234.66785"/>
      <inkml:brushProperty name="anchorY" value="-10501.15039"/>
      <inkml:brushProperty name="scaleFactor" value="0.5"/>
    </inkml:brush>
  </inkml:definitions>
  <inkml:trace contextRef="#ctx0" brushRef="#br0">1 1 24575,'0'0'0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12.953"/>
    </inkml:context>
    <inkml:brush xml:id="br0">
      <inkml:brushProperty name="width" value="0.05" units="cm"/>
      <inkml:brushProperty name="height" value="0.05" units="cm"/>
      <inkml:brushProperty name="color" value="#B4C3DA"/>
      <inkml:brushProperty name="inkEffects" value="silver"/>
      <inkml:brushProperty name="anchorX" value="-1250.66785"/>
      <inkml:brushProperty name="anchorY" value="-11517.15039"/>
      <inkml:brushProperty name="scaleFactor" value="0.5"/>
    </inkml:brush>
  </inkml:definitions>
  <inkml:trace contextRef="#ctx0" brushRef="#br0">1 1 24575,'0'0'0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13.601"/>
    </inkml:context>
    <inkml:brush xml:id="br0">
      <inkml:brushProperty name="width" value="0.05" units="cm"/>
      <inkml:brushProperty name="height" value="0.05" units="cm"/>
      <inkml:brushProperty name="color" value="#B4C3DA"/>
      <inkml:brushProperty name="inkEffects" value="silver"/>
      <inkml:brushProperty name="anchorX" value="-2266.66797"/>
      <inkml:brushProperty name="anchorY" value="-12533.15039"/>
      <inkml:brushProperty name="scaleFactor" value="0.5"/>
    </inkml:brush>
  </inkml:definitions>
  <inkml:trace contextRef="#ctx0" brushRef="#br0">1 1 24575,'0'0'0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15.306"/>
    </inkml:context>
    <inkml:brush xml:id="br0">
      <inkml:brushProperty name="width" value="0.05" units="cm"/>
      <inkml:brushProperty name="height" value="0.05" units="cm"/>
      <inkml:brushProperty name="color" value="#B4C3DA"/>
      <inkml:brushProperty name="inkEffects" value="silver"/>
      <inkml:brushProperty name="anchorX" value="-3282.66797"/>
      <inkml:brushProperty name="anchorY" value="-13549.15039"/>
      <inkml:brushProperty name="scaleFactor" value="0.5"/>
    </inkml:brush>
  </inkml:definitions>
  <inkml:trace contextRef="#ctx0" brushRef="#br0">1 1 24575,'0'0'0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15.958"/>
    </inkml:context>
    <inkml:brush xml:id="br0">
      <inkml:brushProperty name="width" value="0.05" units="cm"/>
      <inkml:brushProperty name="height" value="0.05" units="cm"/>
      <inkml:brushProperty name="color" value="#B4C3DA"/>
      <inkml:brushProperty name="inkEffects" value="silver"/>
      <inkml:brushProperty name="anchorX" value="-4298.66797"/>
      <inkml:brushProperty name="anchorY" value="-14565.15039"/>
      <inkml:brushProperty name="scaleFactor" value="0.5"/>
    </inkml:brush>
  </inkml:definitions>
  <inkml:trace contextRef="#ctx0" brushRef="#br0">1 1 24575,'0'0'0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20.076"/>
    </inkml:context>
    <inkml:brush xml:id="br0">
      <inkml:brushProperty name="width" value="0.05" units="cm"/>
      <inkml:brushProperty name="height" value="0.05" units="cm"/>
      <inkml:brushProperty name="color" value="#B4C3DA"/>
      <inkml:brushProperty name="inkEffects" value="silver"/>
      <inkml:brushProperty name="anchorX" value="-12923.63965"/>
      <inkml:brushProperty name="anchorY" value="-19128.41602"/>
      <inkml:brushProperty name="scaleFactor" value="0.5"/>
    </inkml:brush>
  </inkml:definitions>
  <inkml:trace contextRef="#ctx0" brushRef="#br0">1 1 24575,'0'0'0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22.774"/>
    </inkml:context>
    <inkml:brush xml:id="br0">
      <inkml:brushProperty name="width" value="0.05" units="cm"/>
      <inkml:brushProperty name="height" value="0.05" units="cm"/>
      <inkml:brushProperty name="color" value="#B4C3DA"/>
      <inkml:brushProperty name="inkEffects" value="silver"/>
      <inkml:brushProperty name="anchorX" value="-13939.63965"/>
      <inkml:brushProperty name="anchorY" value="-20144.41602"/>
      <inkml:brushProperty name="scaleFactor" value="0.5"/>
    </inkml:brush>
  </inkml:definitions>
  <inkml:trace contextRef="#ctx0" brushRef="#br0">1 1 24575,'0'0'0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23.573"/>
    </inkml:context>
    <inkml:brush xml:id="br0">
      <inkml:brushProperty name="width" value="0.05" units="cm"/>
      <inkml:brushProperty name="height" value="0.05" units="cm"/>
      <inkml:brushProperty name="color" value="#B4C3DA"/>
      <inkml:brushProperty name="inkEffects" value="silver"/>
      <inkml:brushProperty name="anchorX" value="-14955.63965"/>
      <inkml:brushProperty name="anchorY" value="-21160.41602"/>
      <inkml:brushProperty name="scaleFactor" value="0.5"/>
    </inkml:brush>
  </inkml:definitions>
  <inkml:trace contextRef="#ctx0" brushRef="#br0">1 1 24575,'0'0'0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24.284"/>
    </inkml:context>
    <inkml:brush xml:id="br0">
      <inkml:brushProperty name="width" value="0.05" units="cm"/>
      <inkml:brushProperty name="height" value="0.05" units="cm"/>
      <inkml:brushProperty name="color" value="#B4C3DA"/>
      <inkml:brushProperty name="inkEffects" value="silver"/>
      <inkml:brushProperty name="anchorX" value="-15971.63965"/>
      <inkml:brushProperty name="anchorY" value="-22176.41406"/>
      <inkml:brushProperty name="scaleFactor" value="0.5"/>
    </inkml:brush>
  </inkml:definitions>
  <inkml:trace contextRef="#ctx0" brushRef="#br0">1 1 24575,'0'0'0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24.988"/>
    </inkml:context>
    <inkml:brush xml:id="br0">
      <inkml:brushProperty name="width" value="0.05" units="cm"/>
      <inkml:brushProperty name="height" value="0.05" units="cm"/>
      <inkml:brushProperty name="color" value="#B4C3DA"/>
      <inkml:brushProperty name="inkEffects" value="silver"/>
      <inkml:brushProperty name="anchorX" value="-16987.63867"/>
      <inkml:brushProperty name="anchorY" value="-23192.41406"/>
      <inkml:brushProperty name="scaleFactor" value="0.5"/>
    </inkml:brush>
  </inkml:definitions>
  <inkml:trace contextRef="#ctx0" brushRef="#br0">1 1 24575,'0'0'0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26.336"/>
    </inkml:context>
    <inkml:brush xml:id="br0">
      <inkml:brushProperty name="width" value="0.05" units="cm"/>
      <inkml:brushProperty name="height" value="0.05" units="cm"/>
      <inkml:brushProperty name="color" value="#B4C3DA"/>
      <inkml:brushProperty name="inkEffects" value="silver"/>
      <inkml:brushProperty name="anchorX" value="-18003.63867"/>
      <inkml:brushProperty name="anchorY" value="-24208.41406"/>
      <inkml:brushProperty name="scaleFactor" value="0.5"/>
    </inkml:brush>
  </inkml:definitions>
  <inkml:trace contextRef="#ctx0" brushRef="#br0">1 1 24575,'0'0'0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29.584"/>
    </inkml:context>
    <inkml:brush xml:id="br0">
      <inkml:brushProperty name="width" value="0.05" units="cm"/>
      <inkml:brushProperty name="height" value="0.05" units="cm"/>
      <inkml:brushProperty name="color" value="#B4C3DA"/>
      <inkml:brushProperty name="inkEffects" value="silver"/>
      <inkml:brushProperty name="anchorX" value="-26602.33203"/>
      <inkml:brushProperty name="anchorY" value="-21447.68555"/>
      <inkml:brushProperty name="scaleFactor" value="0.5"/>
    </inkml:brush>
  </inkml:definitions>
  <inkml:trace contextRef="#ctx0" brushRef="#br0">1 1 24575,'0'0'0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30.552"/>
    </inkml:context>
    <inkml:brush xml:id="br0">
      <inkml:brushProperty name="width" value="0.05" units="cm"/>
      <inkml:brushProperty name="height" value="0.05" units="cm"/>
      <inkml:brushProperty name="color" value="#B4C3DA"/>
      <inkml:brushProperty name="inkEffects" value="silver"/>
      <inkml:brushProperty name="anchorX" value="-27618.33203"/>
      <inkml:brushProperty name="anchorY" value="-22463.68555"/>
      <inkml:brushProperty name="scaleFactor" value="0.5"/>
    </inkml:brush>
  </inkml:definitions>
  <inkml:trace contextRef="#ctx0" brushRef="#br0">1 1 24575,'0'0'0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31.478"/>
    </inkml:context>
    <inkml:brush xml:id="br0">
      <inkml:brushProperty name="width" value="0.05" units="cm"/>
      <inkml:brushProperty name="height" value="0.05" units="cm"/>
      <inkml:brushProperty name="color" value="#B4C3DA"/>
      <inkml:brushProperty name="inkEffects" value="silver"/>
      <inkml:brushProperty name="anchorX" value="-28634.33203"/>
      <inkml:brushProperty name="anchorY" value="-23479.68555"/>
      <inkml:brushProperty name="scaleFactor" value="0.5"/>
    </inkml:brush>
  </inkml:definitions>
  <inkml:trace contextRef="#ctx0" brushRef="#br0">1 1 24575,'0'0'0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7T07:36:32.394"/>
    </inkml:context>
    <inkml:brush xml:id="br0">
      <inkml:brushProperty name="width" value="0.05" units="cm"/>
      <inkml:brushProperty name="height" value="0.05" units="cm"/>
      <inkml:brushProperty name="color" value="#B4C3DA"/>
      <inkml:brushProperty name="inkEffects" value="silver"/>
      <inkml:brushProperty name="anchorX" value="-29650.33203"/>
      <inkml:brushProperty name="anchorY" value="-24495.68555"/>
      <inkml:brushProperty name="scaleFactor" value="0.5"/>
    </inkml:brush>
  </inkml:definitions>
  <inkml:trace contextRef="#ctx0" brushRef="#br0">1 1 24575,'0'0'0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4:51.814"/>
    </inkml:context>
    <inkml:brush xml:id="br0">
      <inkml:brushProperty name="width" value="0.05" units="cm"/>
      <inkml:brushProperty name="height" value="0.05" units="cm"/>
      <inkml:brushProperty name="color" value="#B4C3DA"/>
      <inkml:brushProperty name="inkEffects" value="silver"/>
      <inkml:brushProperty name="anchorX" value="0"/>
      <inkml:brushProperty name="anchorY" value="0"/>
      <inkml:brushProperty name="scaleFactor" value="0.5"/>
    </inkml:brush>
  </inkml:definitions>
  <inkml:trace contextRef="#ctx0" brushRef="#br0">1 1 24575,'0'0'0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4:54.644"/>
    </inkml:context>
    <inkml:brush xml:id="br0">
      <inkml:brushProperty name="width" value="0.05" units="cm"/>
      <inkml:brushProperty name="height" value="0.05" units="cm"/>
      <inkml:brushProperty name="color" value="#B4C3DA"/>
      <inkml:brushProperty name="inkEffects" value="silver"/>
      <inkml:brushProperty name="anchorX" value="-1016"/>
      <inkml:brushProperty name="anchorY" value="-1016"/>
      <inkml:brushProperty name="scaleFactor" value="0.5"/>
    </inkml:brush>
  </inkml:definitions>
  <inkml:trace contextRef="#ctx0" brushRef="#br0">1 1 24575,'0'0'0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4:55.824"/>
    </inkml:context>
    <inkml:brush xml:id="br0">
      <inkml:brushProperty name="width" value="0.05" units="cm"/>
      <inkml:brushProperty name="height" value="0.05" units="cm"/>
      <inkml:brushProperty name="color" value="#B4C3DA"/>
      <inkml:brushProperty name="inkEffects" value="silver"/>
      <inkml:brushProperty name="anchorX" value="-2032"/>
      <inkml:brushProperty name="anchorY" value="-2032"/>
      <inkml:brushProperty name="scaleFactor" value="0.5"/>
    </inkml:brush>
  </inkml:definitions>
  <inkml:trace contextRef="#ctx0" brushRef="#br0">1 1 24575,'0'0'0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4:56.725"/>
    </inkml:context>
    <inkml:brush xml:id="br0">
      <inkml:brushProperty name="width" value="0.05" units="cm"/>
      <inkml:brushProperty name="height" value="0.05" units="cm"/>
      <inkml:brushProperty name="color" value="#B4C3DA"/>
      <inkml:brushProperty name="inkEffects" value="silver"/>
      <inkml:brushProperty name="anchorX" value="-3048"/>
      <inkml:brushProperty name="anchorY" value="-3048"/>
      <inkml:brushProperty name="scaleFactor" value="0.5"/>
    </inkml:brush>
  </inkml:definitions>
  <inkml:trace contextRef="#ctx0" brushRef="#br0">1 1 24575,'0'0'0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4:58.109"/>
    </inkml:context>
    <inkml:brush xml:id="br0">
      <inkml:brushProperty name="width" value="0.05" units="cm"/>
      <inkml:brushProperty name="height" value="0.05" units="cm"/>
      <inkml:brushProperty name="color" value="#B4C3DA"/>
      <inkml:brushProperty name="inkEffects" value="silver"/>
      <inkml:brushProperty name="anchorX" value="-4064"/>
      <inkml:brushProperty name="anchorY" value="-4064"/>
      <inkml:brushProperty name="scaleFactor" value="0.5"/>
    </inkml:brush>
  </inkml:definitions>
  <inkml:trace contextRef="#ctx0" brushRef="#br0">1 1 24575,'0'0'0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4:59.408"/>
    </inkml:context>
    <inkml:brush xml:id="br0">
      <inkml:brushProperty name="width" value="0.05" units="cm"/>
      <inkml:brushProperty name="height" value="0.05" units="cm"/>
      <inkml:brushProperty name="color" value="#B4C3DA"/>
      <inkml:brushProperty name="inkEffects" value="silver"/>
      <inkml:brushProperty name="anchorX" value="-5080"/>
      <inkml:brushProperty name="anchorY" value="-5080"/>
      <inkml:brushProperty name="scaleFactor" value="0.5"/>
    </inkml:brush>
  </inkml:definitions>
  <inkml:trace contextRef="#ctx0" brushRef="#br0">1 1 24575,'0'0'0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00.260"/>
    </inkml:context>
    <inkml:brush xml:id="br0">
      <inkml:brushProperty name="width" value="0.05" units="cm"/>
      <inkml:brushProperty name="height" value="0.05" units="cm"/>
      <inkml:brushProperty name="color" value="#B4C3DA"/>
      <inkml:brushProperty name="inkEffects" value="silver"/>
      <inkml:brushProperty name="anchorX" value="-6096"/>
      <inkml:brushProperty name="anchorY" value="-6096"/>
      <inkml:brushProperty name="scaleFactor" value="0.5"/>
    </inkml:brush>
  </inkml:definitions>
  <inkml:trace contextRef="#ctx0" brushRef="#br0">1 1 24575,'0'0'0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01.509"/>
    </inkml:context>
    <inkml:brush xml:id="br0">
      <inkml:brushProperty name="width" value="0.05" units="cm"/>
      <inkml:brushProperty name="height" value="0.05" units="cm"/>
      <inkml:brushProperty name="color" value="#B4C3DA"/>
      <inkml:brushProperty name="inkEffects" value="silver"/>
      <inkml:brushProperty name="anchorX" value="-7112"/>
      <inkml:brushProperty name="anchorY" value="-7112"/>
      <inkml:brushProperty name="scaleFactor" value="0.5"/>
    </inkml:brush>
  </inkml:definitions>
  <inkml:trace contextRef="#ctx0" brushRef="#br0">1 1 24575,'0'0'0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03.210"/>
    </inkml:context>
    <inkml:brush xml:id="br0">
      <inkml:brushProperty name="width" value="0.05" units="cm"/>
      <inkml:brushProperty name="height" value="0.05" units="cm"/>
      <inkml:brushProperty name="color" value="#B4C3DA"/>
      <inkml:brushProperty name="inkEffects" value="silver"/>
      <inkml:brushProperty name="anchorX" value="-8128"/>
      <inkml:brushProperty name="anchorY" value="-8128"/>
      <inkml:brushProperty name="scaleFactor" value="0.5"/>
    </inkml:brush>
  </inkml:definitions>
  <inkml:trace contextRef="#ctx0" brushRef="#br0">1 1 24575,'0'0'0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04.327"/>
    </inkml:context>
    <inkml:brush xml:id="br0">
      <inkml:brushProperty name="width" value="0.05" units="cm"/>
      <inkml:brushProperty name="height" value="0.05" units="cm"/>
      <inkml:brushProperty name="color" value="#B4C3DA"/>
      <inkml:brushProperty name="inkEffects" value="silver"/>
      <inkml:brushProperty name="anchorX" value="-9144"/>
      <inkml:brushProperty name="anchorY" value="-9144"/>
      <inkml:brushProperty name="scaleFactor" value="0.5"/>
    </inkml:brush>
  </inkml:definitions>
  <inkml:trace contextRef="#ctx0" brushRef="#br0">1 1 24575,'0'0'0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06.515"/>
    </inkml:context>
    <inkml:brush xml:id="br0">
      <inkml:brushProperty name="width" value="0.05" units="cm"/>
      <inkml:brushProperty name="height" value="0.05" units="cm"/>
      <inkml:brushProperty name="color" value="#B4C3DA"/>
      <inkml:brushProperty name="inkEffects" value="silver"/>
      <inkml:brushProperty name="anchorX" value="-10160"/>
      <inkml:brushProperty name="anchorY" value="-10160"/>
      <inkml:brushProperty name="scaleFactor" value="0.5"/>
    </inkml:brush>
  </inkml:definitions>
  <inkml:trace contextRef="#ctx0" brushRef="#br0">1 1 24575,'0'0'0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07.808"/>
    </inkml:context>
    <inkml:brush xml:id="br0">
      <inkml:brushProperty name="width" value="0.05" units="cm"/>
      <inkml:brushProperty name="height" value="0.05" units="cm"/>
      <inkml:brushProperty name="color" value="#B4C3DA"/>
      <inkml:brushProperty name="inkEffects" value="silver"/>
      <inkml:brushProperty name="anchorX" value="-11176"/>
      <inkml:brushProperty name="anchorY" value="-11176"/>
      <inkml:brushProperty name="scaleFactor" value="0.5"/>
    </inkml:brush>
  </inkml:definitions>
  <inkml:trace contextRef="#ctx0" brushRef="#br0">1 1 24575,'0'0'0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09.052"/>
    </inkml:context>
    <inkml:brush xml:id="br0">
      <inkml:brushProperty name="width" value="0.05" units="cm"/>
      <inkml:brushProperty name="height" value="0.05" units="cm"/>
      <inkml:brushProperty name="color" value="#B4C3DA"/>
      <inkml:brushProperty name="inkEffects" value="silver"/>
      <inkml:brushProperty name="anchorX" value="-12192"/>
      <inkml:brushProperty name="anchorY" value="-12192"/>
      <inkml:brushProperty name="scaleFactor" value="0.5"/>
    </inkml:brush>
  </inkml:definitions>
  <inkml:trace contextRef="#ctx0" brushRef="#br0">1 1 24575,'0'0'0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10.417"/>
    </inkml:context>
    <inkml:brush xml:id="br0">
      <inkml:brushProperty name="width" value="0.05" units="cm"/>
      <inkml:brushProperty name="height" value="0.05" units="cm"/>
      <inkml:brushProperty name="color" value="#B4C3DA"/>
      <inkml:brushProperty name="inkEffects" value="silver"/>
      <inkml:brushProperty name="anchorX" value="-13208"/>
      <inkml:brushProperty name="anchorY" value="-13208"/>
      <inkml:brushProperty name="scaleFactor" value="0.5"/>
    </inkml:brush>
  </inkml:definitions>
  <inkml:trace contextRef="#ctx0" brushRef="#br0">1 1 24575,'0'0'0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38.689"/>
    </inkml:context>
    <inkml:brush xml:id="br0">
      <inkml:brushProperty name="width" value="0.05" units="cm"/>
      <inkml:brushProperty name="height" value="0.05" units="cm"/>
      <inkml:brushProperty name="color" value="#B4C3DA"/>
      <inkml:brushProperty name="inkEffects" value="silver"/>
      <inkml:brushProperty name="anchorX" value="-14408.4834"/>
      <inkml:brushProperty name="anchorY" value="-15566.66602"/>
      <inkml:brushProperty name="scaleFactor" value="0.5"/>
    </inkml:brush>
  </inkml:definitions>
  <inkml:trace contextRef="#ctx0" brushRef="#br0">1 1 24575,'0'0'0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39.479"/>
    </inkml:context>
    <inkml:brush xml:id="br0">
      <inkml:brushProperty name="width" value="0.05" units="cm"/>
      <inkml:brushProperty name="height" value="0.05" units="cm"/>
      <inkml:brushProperty name="color" value="#B4C3DA"/>
      <inkml:brushProperty name="inkEffects" value="silver"/>
      <inkml:brushProperty name="anchorX" value="-15424.4834"/>
      <inkml:brushProperty name="anchorY" value="-16582.66602"/>
      <inkml:brushProperty name="scaleFactor" value="0.5"/>
    </inkml:brush>
  </inkml:definitions>
  <inkml:trace contextRef="#ctx0" brushRef="#br0">1 1 24575,'0'0'0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40.563"/>
    </inkml:context>
    <inkml:brush xml:id="br0">
      <inkml:brushProperty name="width" value="0.05" units="cm"/>
      <inkml:brushProperty name="height" value="0.05" units="cm"/>
      <inkml:brushProperty name="color" value="#B4C3DA"/>
      <inkml:brushProperty name="inkEffects" value="silver"/>
      <inkml:brushProperty name="anchorX" value="-16440.48242"/>
      <inkml:brushProperty name="anchorY" value="-17598.66602"/>
      <inkml:brushProperty name="scaleFactor" value="0.5"/>
    </inkml:brush>
  </inkml:definitions>
  <inkml:trace contextRef="#ctx0" brushRef="#br0">1 1 24575,'0'0'0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41.628"/>
    </inkml:context>
    <inkml:brush xml:id="br0">
      <inkml:brushProperty name="width" value="0.05" units="cm"/>
      <inkml:brushProperty name="height" value="0.05" units="cm"/>
      <inkml:brushProperty name="color" value="#B4C3DA"/>
      <inkml:brushProperty name="inkEffects" value="silver"/>
      <inkml:brushProperty name="anchorX" value="-17456.48242"/>
      <inkml:brushProperty name="anchorY" value="-18614.66602"/>
      <inkml:brushProperty name="scaleFactor" value="0.5"/>
    </inkml:brush>
  </inkml:definitions>
  <inkml:trace contextRef="#ctx0" brushRef="#br0">1 1 24575,'0'0'0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43.976"/>
    </inkml:context>
    <inkml:brush xml:id="br0">
      <inkml:brushProperty name="width" value="0.05" units="cm"/>
      <inkml:brushProperty name="height" value="0.05" units="cm"/>
      <inkml:brushProperty name="color" value="#B4C3DA"/>
      <inkml:brushProperty name="inkEffects" value="silver"/>
      <inkml:brushProperty name="anchorX" value="-18472.48242"/>
      <inkml:brushProperty name="anchorY" value="-19630.66602"/>
      <inkml:brushProperty name="scaleFactor" value="0.5"/>
    </inkml:brush>
  </inkml:definitions>
  <inkml:trace contextRef="#ctx0" brushRef="#br0">1 1 24575,'0'0'0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45.397"/>
    </inkml:context>
    <inkml:brush xml:id="br0">
      <inkml:brushProperty name="width" value="0.05" units="cm"/>
      <inkml:brushProperty name="height" value="0.05" units="cm"/>
      <inkml:brushProperty name="color" value="#B4C3DA"/>
      <inkml:brushProperty name="inkEffects" value="silver"/>
      <inkml:brushProperty name="anchorX" value="-19488.48242"/>
      <inkml:brushProperty name="anchorY" value="-20646.66602"/>
      <inkml:brushProperty name="scaleFactor" value="0.5"/>
    </inkml:brush>
  </inkml:definitions>
  <inkml:trace contextRef="#ctx0" brushRef="#br0">1 1 24575,'0'0'0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48.875"/>
    </inkml:context>
    <inkml:brush xml:id="br0">
      <inkml:brushProperty name="width" value="0.05" units="cm"/>
      <inkml:brushProperty name="height" value="0.05" units="cm"/>
      <inkml:brushProperty name="color" value="#B4C3DA"/>
      <inkml:brushProperty name="inkEffects" value="silver"/>
      <inkml:brushProperty name="anchorX" value="-20504.48242"/>
      <inkml:brushProperty name="anchorY" value="-21662.66602"/>
      <inkml:brushProperty name="scaleFactor" value="0.5"/>
    </inkml:brush>
  </inkml:definitions>
  <inkml:trace contextRef="#ctx0" brushRef="#br0">1 1 24575,'0'0'0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50.609"/>
    </inkml:context>
    <inkml:brush xml:id="br0">
      <inkml:brushProperty name="width" value="0.05" units="cm"/>
      <inkml:brushProperty name="height" value="0.05" units="cm"/>
      <inkml:brushProperty name="color" value="#B4C3DA"/>
      <inkml:brushProperty name="inkEffects" value="silver"/>
      <inkml:brushProperty name="anchorX" value="-21520.48242"/>
      <inkml:brushProperty name="anchorY" value="-22678.66602"/>
      <inkml:brushProperty name="scaleFactor" value="0.5"/>
    </inkml:brush>
  </inkml:definitions>
  <inkml:trace contextRef="#ctx0" brushRef="#br0">1 1 24575,'0'0'0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54.665"/>
    </inkml:context>
    <inkml:brush xml:id="br0">
      <inkml:brushProperty name="width" value="0.05" units="cm"/>
      <inkml:brushProperty name="height" value="0.05" units="cm"/>
      <inkml:brushProperty name="color" value="#B4C3DA"/>
      <inkml:brushProperty name="inkEffects" value="silver"/>
      <inkml:brushProperty name="anchorX" value="-22536.48242"/>
      <inkml:brushProperty name="anchorY" value="-23694.66602"/>
      <inkml:brushProperty name="scaleFactor" value="0.5"/>
    </inkml:brush>
  </inkml:definitions>
  <inkml:trace contextRef="#ctx0" brushRef="#br0">1 1 24575,'0'0'0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30T07:35:57.680"/>
    </inkml:context>
    <inkml:brush xml:id="br0">
      <inkml:brushProperty name="width" value="0.05" units="cm"/>
      <inkml:brushProperty name="height" value="0.05" units="cm"/>
      <inkml:brushProperty name="color" value="#B4C3DA"/>
      <inkml:brushProperty name="inkEffects" value="silver"/>
      <inkml:brushProperty name="anchorX" value="-23552.48242"/>
      <inkml:brushProperty name="anchorY" value="-24710.66602"/>
      <inkml:brushProperty name="scaleFactor" value="0.5"/>
    </inkml:brush>
  </inkml:definitions>
  <inkml:trace contextRef="#ctx0" brushRef="#br0">1 1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refreshedDate="46195.829587384258" createdVersion="7" refreshedVersion="7" minRefreshableVersion="3" recordCount="1200" xr:uid="{0552F3CF-DCC4-4DE3-97AE-8EB918840492}">
  <cacheSource type="worksheet">
    <worksheetSource name="Table1"/>
  </cacheSource>
  <cacheFields count="20">
    <cacheField name="Mission_ID" numFmtId="0">
      <sharedItems/>
    </cacheField>
    <cacheField name="Mission_Name" numFmtId="0">
      <sharedItems/>
    </cacheField>
    <cacheField name="Agency" numFmtId="0">
      <sharedItems count="7">
        <s v="CNSA"/>
        <s v="ESA"/>
        <s v="ISRO"/>
        <s v="NASA"/>
        <s v="JAXA"/>
        <s v="SpaceX"/>
        <s v="Roscosmos"/>
      </sharedItems>
    </cacheField>
    <cacheField name="Country" numFmtId="0">
      <sharedItems count="6">
        <s v="Russia"/>
        <s v="India"/>
        <s v="USA"/>
        <s v="China"/>
        <s v="Japan"/>
        <s v="France"/>
      </sharedItems>
    </cacheField>
    <cacheField name="Launch_Date" numFmtId="164">
      <sharedItems containsSemiMixedTypes="0" containsNonDate="0" containsDate="1" containsString="0" minDate="2010-01-05T00:00:00" maxDate="2026-06-02T00:00:00" count="1079">
        <d v="2016-11-14T00:00:00"/>
        <d v="2023-03-12T00:00:00"/>
        <d v="2018-08-31T00:00:00"/>
        <d v="2017-03-20T00:00:00"/>
        <d v="2023-08-29T00:00:00"/>
        <d v="2014-12-28T00:00:00"/>
        <d v="2015-01-24T00:00:00"/>
        <d v="2022-01-29T00:00:00"/>
        <d v="2016-05-26T00:00:00"/>
        <d v="2018-10-07T00:00:00"/>
        <d v="2025-07-30T00:00:00"/>
        <d v="2012-09-21T00:00:00"/>
        <d v="2012-05-02T00:00:00"/>
        <d v="2011-11-08T00:00:00"/>
        <d v="2016-12-15T00:00:00"/>
        <d v="2026-02-09T00:00:00"/>
        <d v="2022-07-17T00:00:00"/>
        <d v="2020-04-28T00:00:00"/>
        <d v="2025-10-04T00:00:00"/>
        <d v="2023-01-28T00:00:00"/>
        <d v="2012-07-23T00:00:00"/>
        <d v="2014-10-14T00:00:00"/>
        <d v="2016-12-05T00:00:00"/>
        <d v="2014-11-16T00:00:00"/>
        <d v="2025-04-29T00:00:00"/>
        <d v="2014-03-26T00:00:00"/>
        <d v="2011-05-26T00:00:00"/>
        <d v="2021-03-31T00:00:00"/>
        <d v="2020-05-05T00:00:00"/>
        <d v="2024-04-19T00:00:00"/>
        <d v="2010-10-22T00:00:00"/>
        <d v="2021-04-11T00:00:00"/>
        <d v="2016-09-07T00:00:00"/>
        <d v="2021-03-18T00:00:00"/>
        <d v="2018-10-13T00:00:00"/>
        <d v="2023-03-02T00:00:00"/>
        <d v="2018-11-04T00:00:00"/>
        <d v="2018-04-12T00:00:00"/>
        <d v="2021-12-17T00:00:00"/>
        <d v="2010-08-08T00:00:00"/>
        <d v="2014-01-26T00:00:00"/>
        <d v="2022-03-26T00:00:00"/>
        <d v="2011-02-20T00:00:00"/>
        <d v="2016-06-06T00:00:00"/>
        <d v="2015-06-07T00:00:00"/>
        <d v="2018-01-28T00:00:00"/>
        <d v="2026-03-02T00:00:00"/>
        <d v="2019-05-30T00:00:00"/>
        <d v="2010-08-28T00:00:00"/>
        <d v="2022-07-09T00:00:00"/>
        <d v="2015-04-02T00:00:00"/>
        <d v="2021-04-19T00:00:00"/>
        <d v="2024-08-04T00:00:00"/>
        <d v="2013-09-29T00:00:00"/>
        <d v="2011-02-28T00:00:00"/>
        <d v="2016-04-10T00:00:00"/>
        <d v="2025-01-19T00:00:00"/>
        <d v="2015-03-17T00:00:00"/>
        <d v="2023-07-15T00:00:00"/>
        <d v="2010-02-22T00:00:00"/>
        <d v="2018-02-10T00:00:00"/>
        <d v="2023-12-23T00:00:00"/>
        <d v="2013-07-02T00:00:00"/>
        <d v="2016-12-25T00:00:00"/>
        <d v="2015-02-16T00:00:00"/>
        <d v="2020-10-24T00:00:00"/>
        <d v="2011-06-21T00:00:00"/>
        <d v="2014-02-01T00:00:00"/>
        <d v="2015-08-19T00:00:00"/>
        <d v="2020-03-07T00:00:00"/>
        <d v="2022-11-25T00:00:00"/>
        <d v="2025-12-26T00:00:00"/>
        <d v="2012-12-22T00:00:00"/>
        <d v="2014-02-19T00:00:00"/>
        <d v="2011-04-14T00:00:00"/>
        <d v="2021-09-02T00:00:00"/>
        <d v="2010-11-11T00:00:00"/>
        <d v="2022-12-06T00:00:00"/>
        <d v="2021-06-21T00:00:00"/>
        <d v="2017-11-17T00:00:00"/>
        <d v="2018-05-09T00:00:00"/>
        <d v="2019-02-03T00:00:00"/>
        <d v="2013-05-31T00:00:00"/>
        <d v="2019-02-07T00:00:00"/>
        <d v="2016-08-05T00:00:00"/>
        <d v="2016-06-23T00:00:00"/>
        <d v="2012-09-09T00:00:00"/>
        <d v="2022-12-13T00:00:00"/>
        <d v="2010-11-06T00:00:00"/>
        <d v="2022-04-23T00:00:00"/>
        <d v="2025-12-16T00:00:00"/>
        <d v="2014-11-20T00:00:00"/>
        <d v="2012-08-14T00:00:00"/>
        <d v="2013-07-07T00:00:00"/>
        <d v="2014-12-07T00:00:00"/>
        <d v="2024-06-08T00:00:00"/>
        <d v="2019-12-14T00:00:00"/>
        <d v="2025-04-06T00:00:00"/>
        <d v="2026-04-03T00:00:00"/>
        <d v="2023-02-07T00:00:00"/>
        <d v="2019-04-20T00:00:00"/>
        <d v="2025-01-06T00:00:00"/>
        <d v="2017-02-14T00:00:00"/>
        <d v="2016-09-21T00:00:00"/>
        <d v="2018-12-28T00:00:00"/>
        <d v="2024-11-14T00:00:00"/>
        <d v="2025-11-30T00:00:00"/>
        <d v="2024-05-16T00:00:00"/>
        <d v="2021-08-18T00:00:00"/>
        <d v="2014-03-08T00:00:00"/>
        <d v="2010-03-31T00:00:00"/>
        <d v="2021-04-04T00:00:00"/>
        <d v="2021-11-21T00:00:00"/>
        <d v="2010-11-03T00:00:00"/>
        <d v="2015-06-25T00:00:00"/>
        <d v="2023-06-15T00:00:00"/>
        <d v="2019-05-05T00:00:00"/>
        <d v="2023-08-16T00:00:00"/>
        <d v="2025-09-14T00:00:00"/>
        <d v="2013-05-03T00:00:00"/>
        <d v="2013-11-13T00:00:00"/>
        <d v="2018-08-14T00:00:00"/>
        <d v="2020-02-08T00:00:00"/>
        <d v="2025-10-25T00:00:00"/>
        <d v="2015-12-20T00:00:00"/>
        <d v="2024-01-13T00:00:00"/>
        <d v="2024-05-03T00:00:00"/>
        <d v="2020-06-20T00:00:00"/>
        <d v="2019-05-25T00:00:00"/>
        <d v="2011-01-26T00:00:00"/>
        <d v="2019-04-21T00:00:00"/>
        <d v="2025-02-24T00:00:00"/>
        <d v="2012-01-08T00:00:00"/>
        <d v="2016-10-17T00:00:00"/>
        <d v="2010-10-03T00:00:00"/>
        <d v="2015-04-22T00:00:00"/>
        <d v="2014-11-06T00:00:00"/>
        <d v="2017-02-09T00:00:00"/>
        <d v="2022-05-07T00:00:00"/>
        <d v="2017-08-03T00:00:00"/>
        <d v="2013-02-25T00:00:00"/>
        <d v="2017-12-21T00:00:00"/>
        <d v="2019-02-19T00:00:00"/>
        <d v="2024-06-02T00:00:00"/>
        <d v="2025-07-11T00:00:00"/>
        <d v="2021-06-13T00:00:00"/>
        <d v="2022-02-07T00:00:00"/>
        <d v="2016-02-13T00:00:00"/>
        <d v="2014-08-10T00:00:00"/>
        <d v="2016-08-29T00:00:00"/>
        <d v="2023-06-14T00:00:00"/>
        <d v="2020-04-17T00:00:00"/>
        <d v="2026-01-06T00:00:00"/>
        <d v="2010-10-08T00:00:00"/>
        <d v="2010-01-05T00:00:00"/>
        <d v="2016-04-18T00:00:00"/>
        <d v="2014-03-25T00:00:00"/>
        <d v="2019-06-24T00:00:00"/>
        <d v="2024-07-17T00:00:00"/>
        <d v="2011-02-19T00:00:00"/>
        <d v="2016-01-21T00:00:00"/>
        <d v="2024-11-19T00:00:00"/>
        <d v="2021-06-25T00:00:00"/>
        <d v="2015-11-08T00:00:00"/>
        <d v="2024-05-02T00:00:00"/>
        <d v="2016-04-21T00:00:00"/>
        <d v="2015-03-07T00:00:00"/>
        <d v="2019-02-01T00:00:00"/>
        <d v="2015-01-18T00:00:00"/>
        <d v="2015-03-14T00:00:00"/>
        <d v="2021-12-06T00:00:00"/>
        <d v="2019-12-25T00:00:00"/>
        <d v="2015-12-09T00:00:00"/>
        <d v="2020-02-15T00:00:00"/>
        <d v="2025-03-25T00:00:00"/>
        <d v="2022-08-16T00:00:00"/>
        <d v="2017-11-25T00:00:00"/>
        <d v="2021-08-23T00:00:00"/>
        <d v="2015-11-29T00:00:00"/>
        <d v="2025-09-01T00:00:00"/>
        <d v="2012-10-14T00:00:00"/>
        <d v="2018-08-30T00:00:00"/>
        <d v="2014-04-08T00:00:00"/>
        <d v="2010-05-08T00:00:00"/>
        <d v="2020-05-15T00:00:00"/>
        <d v="2018-04-03T00:00:00"/>
        <d v="2025-11-06T00:00:00"/>
        <d v="2010-10-01T00:00:00"/>
        <d v="2021-10-28T00:00:00"/>
        <d v="2023-09-13T00:00:00"/>
        <d v="2014-11-14T00:00:00"/>
        <d v="2014-07-29T00:00:00"/>
        <d v="2012-06-29T00:00:00"/>
        <d v="2017-02-24T00:00:00"/>
        <d v="2016-11-19T00:00:00"/>
        <d v="2015-05-31T00:00:00"/>
        <d v="2014-02-18T00:00:00"/>
        <d v="2026-02-21T00:00:00"/>
        <d v="2014-07-11T00:00:00"/>
        <d v="2020-07-06T00:00:00"/>
        <d v="2024-11-16T00:00:00"/>
        <d v="2017-06-04T00:00:00"/>
        <d v="2019-08-13T00:00:00"/>
        <d v="2016-08-10T00:00:00"/>
        <d v="2025-09-07T00:00:00"/>
        <d v="2022-03-27T00:00:00"/>
        <d v="2023-09-21T00:00:00"/>
        <d v="2025-08-03T00:00:00"/>
        <d v="2017-08-01T00:00:00"/>
        <d v="2010-10-23T00:00:00"/>
        <d v="2023-10-20T00:00:00"/>
        <d v="2020-09-02T00:00:00"/>
        <d v="2012-01-13T00:00:00"/>
        <d v="2018-07-28T00:00:00"/>
        <d v="2014-08-15T00:00:00"/>
        <d v="2021-08-25T00:00:00"/>
        <d v="2018-06-22T00:00:00"/>
        <d v="2026-01-12T00:00:00"/>
        <d v="2022-10-04T00:00:00"/>
        <d v="2018-09-07T00:00:00"/>
        <d v="2013-03-05T00:00:00"/>
        <d v="2014-12-04T00:00:00"/>
        <d v="2022-06-17T00:00:00"/>
        <d v="2017-03-26T00:00:00"/>
        <d v="2016-10-01T00:00:00"/>
        <d v="2015-08-17T00:00:00"/>
        <d v="2015-03-26T00:00:00"/>
        <d v="2014-04-23T00:00:00"/>
        <d v="2016-09-29T00:00:00"/>
        <d v="2016-09-18T00:00:00"/>
        <d v="2012-07-01T00:00:00"/>
        <d v="2024-12-17T00:00:00"/>
        <d v="2014-07-03T00:00:00"/>
        <d v="2017-05-17T00:00:00"/>
        <d v="2020-09-30T00:00:00"/>
        <d v="2013-10-26T00:00:00"/>
        <d v="2019-03-13T00:00:00"/>
        <d v="2011-04-19T00:00:00"/>
        <d v="2024-10-11T00:00:00"/>
        <d v="2021-01-21T00:00:00"/>
        <d v="2018-09-18T00:00:00"/>
        <d v="2012-01-19T00:00:00"/>
        <d v="2025-06-06T00:00:00"/>
        <d v="2013-03-22T00:00:00"/>
        <d v="2026-05-21T00:00:00"/>
        <d v="2020-08-01T00:00:00"/>
        <d v="2012-01-04T00:00:00"/>
        <d v="2026-01-25T00:00:00"/>
        <d v="2015-11-27T00:00:00"/>
        <d v="2010-06-01T00:00:00"/>
        <d v="2014-03-28T00:00:00"/>
        <d v="2016-03-14T00:00:00"/>
        <d v="2010-01-18T00:00:00"/>
        <d v="2022-05-14T00:00:00"/>
        <d v="2013-08-26T00:00:00"/>
        <d v="2019-09-10T00:00:00"/>
        <d v="2017-07-18T00:00:00"/>
        <d v="2019-06-30T00:00:00"/>
        <d v="2026-01-10T00:00:00"/>
        <d v="2017-03-16T00:00:00"/>
        <d v="2021-05-23T00:00:00"/>
        <d v="2013-01-14T00:00:00"/>
        <d v="2018-10-11T00:00:00"/>
        <d v="2021-12-11T00:00:00"/>
        <d v="2018-02-13T00:00:00"/>
        <d v="2020-01-07T00:00:00"/>
        <d v="2022-04-13T00:00:00"/>
        <d v="2023-11-07T00:00:00"/>
        <d v="2010-08-18T00:00:00"/>
        <d v="2023-04-29T00:00:00"/>
        <d v="2018-11-19T00:00:00"/>
        <d v="2014-07-25T00:00:00"/>
        <d v="2018-09-10T00:00:00"/>
        <d v="2016-02-14T00:00:00"/>
        <d v="2014-10-27T00:00:00"/>
        <d v="2021-12-07T00:00:00"/>
        <d v="2020-09-15T00:00:00"/>
        <d v="2024-08-10T00:00:00"/>
        <d v="2015-01-10T00:00:00"/>
        <d v="2025-05-12T00:00:00"/>
        <d v="2020-04-26T00:00:00"/>
        <d v="2011-01-07T00:00:00"/>
        <d v="2013-08-08T00:00:00"/>
        <d v="2019-12-16T00:00:00"/>
        <d v="2023-03-13T00:00:00"/>
        <d v="2026-04-30T00:00:00"/>
        <d v="2019-12-20T00:00:00"/>
        <d v="2022-02-20T00:00:00"/>
        <d v="2025-08-25T00:00:00"/>
        <d v="2017-02-15T00:00:00"/>
        <d v="2025-10-31T00:00:00"/>
        <d v="2024-01-04T00:00:00"/>
        <d v="2010-03-23T00:00:00"/>
        <d v="2022-06-02T00:00:00"/>
        <d v="2020-09-11T00:00:00"/>
        <d v="2012-08-07T00:00:00"/>
        <d v="2011-02-09T00:00:00"/>
        <d v="2010-03-20T00:00:00"/>
        <d v="2012-06-03T00:00:00"/>
        <d v="2017-12-04T00:00:00"/>
        <d v="2025-11-27T00:00:00"/>
        <d v="2018-11-26T00:00:00"/>
        <d v="2023-11-09T00:00:00"/>
        <d v="2016-10-08T00:00:00"/>
        <d v="2022-02-27T00:00:00"/>
        <d v="2018-03-25T00:00:00"/>
        <d v="2024-10-13T00:00:00"/>
        <d v="2021-08-29T00:00:00"/>
        <d v="2020-08-03T00:00:00"/>
        <d v="2026-01-22T00:00:00"/>
        <d v="2019-04-13T00:00:00"/>
        <d v="2023-11-04T00:00:00"/>
        <d v="2015-06-08T00:00:00"/>
        <d v="2020-04-21T00:00:00"/>
        <d v="2023-11-23T00:00:00"/>
        <d v="2011-09-21T00:00:00"/>
        <d v="2019-03-08T00:00:00"/>
        <d v="2015-06-29T00:00:00"/>
        <d v="2017-06-01T00:00:00"/>
        <d v="2024-06-30T00:00:00"/>
        <d v="2026-01-02T00:00:00"/>
        <d v="2020-05-23T00:00:00"/>
        <d v="2016-07-27T00:00:00"/>
        <d v="2016-06-26T00:00:00"/>
        <d v="2012-10-24T00:00:00"/>
        <d v="2019-12-17T00:00:00"/>
        <d v="2013-09-25T00:00:00"/>
        <d v="2020-12-05T00:00:00"/>
        <d v="2014-11-30T00:00:00"/>
        <d v="2010-04-05T00:00:00"/>
        <d v="2023-11-02T00:00:00"/>
        <d v="2011-08-21T00:00:00"/>
        <d v="2017-04-19T00:00:00"/>
        <d v="2021-09-22T00:00:00"/>
        <d v="2014-06-29T00:00:00"/>
        <d v="2020-06-15T00:00:00"/>
        <d v="2016-04-24T00:00:00"/>
        <d v="2017-06-16T00:00:00"/>
        <d v="2015-08-24T00:00:00"/>
        <d v="2023-06-04T00:00:00"/>
        <d v="2015-06-13T00:00:00"/>
        <d v="2026-02-03T00:00:00"/>
        <d v="2022-06-10T00:00:00"/>
        <d v="2015-01-26T00:00:00"/>
        <d v="2021-05-11T00:00:00"/>
        <d v="2017-11-09T00:00:00"/>
        <d v="2023-03-11T00:00:00"/>
        <d v="2022-04-25T00:00:00"/>
        <d v="2014-08-06T00:00:00"/>
        <d v="2024-04-09T00:00:00"/>
        <d v="2018-06-21T00:00:00"/>
        <d v="2021-03-04T00:00:00"/>
        <d v="2018-06-10T00:00:00"/>
        <d v="2011-11-12T00:00:00"/>
        <d v="2020-02-05T00:00:00"/>
        <d v="2018-11-09T00:00:00"/>
        <d v="2016-04-27T00:00:00"/>
        <d v="2012-10-06T00:00:00"/>
        <d v="2024-03-10T00:00:00"/>
        <d v="2013-01-04T00:00:00"/>
        <d v="2017-02-26T00:00:00"/>
        <d v="2025-02-22T00:00:00"/>
        <d v="2022-11-06T00:00:00"/>
        <d v="2022-12-12T00:00:00"/>
        <d v="2016-10-16T00:00:00"/>
        <d v="2013-01-03T00:00:00"/>
        <d v="2021-02-14T00:00:00"/>
        <d v="2012-09-26T00:00:00"/>
        <d v="2013-04-10T00:00:00"/>
        <d v="2018-12-27T00:00:00"/>
        <d v="2014-02-06T00:00:00"/>
        <d v="2025-11-05T00:00:00"/>
        <d v="2020-07-30T00:00:00"/>
        <d v="2024-07-25T00:00:00"/>
        <d v="2021-07-29T00:00:00"/>
        <d v="2015-01-01T00:00:00"/>
        <d v="2014-05-02T00:00:00"/>
        <d v="2026-02-01T00:00:00"/>
        <d v="2024-01-29T00:00:00"/>
        <d v="2016-05-28T00:00:00"/>
        <d v="2017-03-02T00:00:00"/>
        <d v="2012-08-25T00:00:00"/>
        <d v="2017-10-10T00:00:00"/>
        <d v="2025-11-14T00:00:00"/>
        <d v="2013-11-30T00:00:00"/>
        <d v="2017-04-10T00:00:00"/>
        <d v="2018-03-05T00:00:00"/>
        <d v="2017-05-30T00:00:00"/>
        <d v="2011-05-22T00:00:00"/>
        <d v="2013-12-30T00:00:00"/>
        <d v="2013-12-01T00:00:00"/>
        <d v="2017-04-13T00:00:00"/>
        <d v="2016-01-26T00:00:00"/>
        <d v="2021-03-08T00:00:00"/>
        <d v="2014-01-13T00:00:00"/>
        <d v="2021-06-11T00:00:00"/>
        <d v="2021-05-12T00:00:00"/>
        <d v="2022-06-14T00:00:00"/>
        <d v="2023-09-11T00:00:00"/>
        <d v="2015-06-04T00:00:00"/>
        <d v="2015-01-23T00:00:00"/>
        <d v="2016-03-04T00:00:00"/>
        <d v="2023-01-26T00:00:00"/>
        <d v="2018-11-03T00:00:00"/>
        <d v="2023-07-17T00:00:00"/>
        <d v="2024-03-28T00:00:00"/>
        <d v="2021-01-19T00:00:00"/>
        <d v="2017-05-25T00:00:00"/>
        <d v="2014-04-04T00:00:00"/>
        <d v="2021-12-29T00:00:00"/>
        <d v="2022-07-29T00:00:00"/>
        <d v="2020-10-31T00:00:00"/>
        <d v="2019-11-19T00:00:00"/>
        <d v="2024-03-21T00:00:00"/>
        <d v="2018-07-27T00:00:00"/>
        <d v="2010-05-02T00:00:00"/>
        <d v="2026-04-06T00:00:00"/>
        <d v="2021-04-01T00:00:00"/>
        <d v="2013-07-10T00:00:00"/>
        <d v="2011-03-21T00:00:00"/>
        <d v="2014-02-17T00:00:00"/>
        <d v="2019-06-18T00:00:00"/>
        <d v="2016-12-11T00:00:00"/>
        <d v="2020-06-08T00:00:00"/>
        <d v="2023-07-22T00:00:00"/>
        <d v="2012-03-19T00:00:00"/>
        <d v="2016-09-30T00:00:00"/>
        <d v="2019-11-10T00:00:00"/>
        <d v="2013-08-19T00:00:00"/>
        <d v="2022-03-09T00:00:00"/>
        <d v="2023-09-18T00:00:00"/>
        <d v="2017-02-10T00:00:00"/>
        <d v="2023-02-03T00:00:00"/>
        <d v="2025-06-23T00:00:00"/>
        <d v="2021-09-08T00:00:00"/>
        <d v="2011-04-21T00:00:00"/>
        <d v="2013-03-23T00:00:00"/>
        <d v="2011-05-21T00:00:00"/>
        <d v="2020-05-19T00:00:00"/>
        <d v="2010-06-03T00:00:00"/>
        <d v="2020-05-06T00:00:00"/>
        <d v="2019-05-31T00:00:00"/>
        <d v="2015-04-07T00:00:00"/>
        <d v="2011-02-08T00:00:00"/>
        <d v="2022-04-02T00:00:00"/>
        <d v="2010-12-30T00:00:00"/>
        <d v="2014-10-09T00:00:00"/>
        <d v="2012-05-06T00:00:00"/>
        <d v="2024-05-09T00:00:00"/>
        <d v="2018-02-02T00:00:00"/>
        <d v="2016-06-08T00:00:00"/>
        <d v="2024-08-23T00:00:00"/>
        <d v="2015-04-14T00:00:00"/>
        <d v="2011-12-27T00:00:00"/>
        <d v="2011-09-04T00:00:00"/>
        <d v="2010-03-15T00:00:00"/>
        <d v="2024-05-31T00:00:00"/>
        <d v="2022-07-16T00:00:00"/>
        <d v="2012-07-04T00:00:00"/>
        <d v="2014-12-01T00:00:00"/>
        <d v="2014-07-13T00:00:00"/>
        <d v="2017-04-09T00:00:00"/>
        <d v="2019-01-17T00:00:00"/>
        <d v="2020-11-06T00:00:00"/>
        <d v="2023-02-24T00:00:00"/>
        <d v="2013-09-21T00:00:00"/>
        <d v="2022-04-12T00:00:00"/>
        <d v="2017-08-21T00:00:00"/>
        <d v="2016-10-25T00:00:00"/>
        <d v="2026-03-07T00:00:00"/>
        <d v="2022-09-29T00:00:00"/>
        <d v="2021-11-29T00:00:00"/>
        <d v="2012-11-19T00:00:00"/>
        <d v="2014-03-07T00:00:00"/>
        <d v="2012-01-16T00:00:00"/>
        <d v="2024-03-06T00:00:00"/>
        <d v="2011-12-12T00:00:00"/>
        <d v="2019-04-25T00:00:00"/>
        <d v="2012-08-26T00:00:00"/>
        <d v="2020-12-28T00:00:00"/>
        <d v="2019-05-12T00:00:00"/>
        <d v="2024-02-26T00:00:00"/>
        <d v="2025-03-10T00:00:00"/>
        <d v="2013-08-28T00:00:00"/>
        <d v="2017-04-06T00:00:00"/>
        <d v="2017-02-12T00:00:00"/>
        <d v="2024-11-20T00:00:00"/>
        <d v="2021-03-21T00:00:00"/>
        <d v="2017-06-22T00:00:00"/>
        <d v="2025-09-03T00:00:00"/>
        <d v="2012-05-07T00:00:00"/>
        <d v="2015-02-05T00:00:00"/>
        <d v="2022-03-21T00:00:00"/>
        <d v="2025-11-23T00:00:00"/>
        <d v="2021-03-19T00:00:00"/>
        <d v="2026-01-16T00:00:00"/>
        <d v="2013-11-29T00:00:00"/>
        <d v="2025-03-12T00:00:00"/>
        <d v="2012-09-13T00:00:00"/>
        <d v="2011-07-15T00:00:00"/>
        <d v="2013-03-11T00:00:00"/>
        <d v="2011-04-29T00:00:00"/>
        <d v="2013-11-07T00:00:00"/>
        <d v="2018-05-29T00:00:00"/>
        <d v="2023-02-23T00:00:00"/>
        <d v="2017-02-21T00:00:00"/>
        <d v="2012-10-03T00:00:00"/>
        <d v="2018-04-06T00:00:00"/>
        <d v="2019-02-04T00:00:00"/>
        <d v="2020-09-25T00:00:00"/>
        <d v="2020-08-24T00:00:00"/>
        <d v="2010-09-14T00:00:00"/>
        <d v="2014-09-25T00:00:00"/>
        <d v="2022-11-18T00:00:00"/>
        <d v="2013-05-04T00:00:00"/>
        <d v="2017-12-19T00:00:00"/>
        <d v="2022-09-11T00:00:00"/>
        <d v="2022-09-03T00:00:00"/>
        <d v="2019-09-28T00:00:00"/>
        <d v="2018-09-24T00:00:00"/>
        <d v="2023-06-25T00:00:00"/>
        <d v="2019-01-24T00:00:00"/>
        <d v="2024-09-16T00:00:00"/>
        <d v="2018-07-23T00:00:00"/>
        <d v="2025-07-26T00:00:00"/>
        <d v="2012-08-13T00:00:00"/>
        <d v="2023-03-14T00:00:00"/>
        <d v="2021-12-10T00:00:00"/>
        <d v="2013-12-31T00:00:00"/>
        <d v="2012-06-18T00:00:00"/>
        <d v="2016-01-30T00:00:00"/>
        <d v="2010-08-13T00:00:00"/>
        <d v="2023-06-10T00:00:00"/>
        <d v="2016-10-22T00:00:00"/>
        <d v="2025-12-19T00:00:00"/>
        <d v="2022-07-18T00:00:00"/>
        <d v="2013-11-12T00:00:00"/>
        <d v="2010-09-03T00:00:00"/>
        <d v="2018-12-19T00:00:00"/>
        <d v="2018-03-19T00:00:00"/>
        <d v="2013-04-30T00:00:00"/>
        <d v="2022-02-12T00:00:00"/>
        <d v="2022-10-16T00:00:00"/>
        <d v="2012-03-17T00:00:00"/>
        <d v="2014-07-18T00:00:00"/>
        <d v="2019-02-12T00:00:00"/>
        <d v="2012-12-26T00:00:00"/>
        <d v="2025-06-09T00:00:00"/>
        <d v="2011-06-19T00:00:00"/>
        <d v="2013-10-24T00:00:00"/>
        <d v="2015-11-05T00:00:00"/>
        <d v="2012-12-14T00:00:00"/>
        <d v="2012-02-05T00:00:00"/>
        <d v="2021-02-22T00:00:00"/>
        <d v="2014-04-02T00:00:00"/>
        <d v="2025-05-09T00:00:00"/>
        <d v="2019-01-07T00:00:00"/>
        <d v="2023-12-31T00:00:00"/>
        <d v="2018-07-04T00:00:00"/>
        <d v="2016-02-27T00:00:00"/>
        <d v="2016-01-04T00:00:00"/>
        <d v="2019-08-03T00:00:00"/>
        <d v="2021-09-05T00:00:00"/>
        <d v="2018-07-25T00:00:00"/>
        <d v="2014-04-07T00:00:00"/>
        <d v="2013-09-08T00:00:00"/>
        <d v="2018-04-05T00:00:00"/>
        <d v="2018-07-14T00:00:00"/>
        <d v="2024-08-24T00:00:00"/>
        <d v="2025-03-01T00:00:00"/>
        <d v="2019-05-09T00:00:00"/>
        <d v="2014-06-18T00:00:00"/>
        <d v="2018-06-20T00:00:00"/>
        <d v="2022-08-14T00:00:00"/>
        <d v="2014-05-12T00:00:00"/>
        <d v="2012-08-06T00:00:00"/>
        <d v="2012-07-11T00:00:00"/>
        <d v="2025-10-07T00:00:00"/>
        <d v="2022-04-21T00:00:00"/>
        <d v="2010-11-24T00:00:00"/>
        <d v="2023-05-26T00:00:00"/>
        <d v="2023-08-23T00:00:00"/>
        <d v="2021-12-30T00:00:00"/>
        <d v="2025-12-18T00:00:00"/>
        <d v="2023-04-12T00:00:00"/>
        <d v="2015-02-26T00:00:00"/>
        <d v="2025-11-09T00:00:00"/>
        <d v="2025-12-08T00:00:00"/>
        <d v="2019-07-07T00:00:00"/>
        <d v="2015-03-10T00:00:00"/>
        <d v="2017-05-06T00:00:00"/>
        <d v="2010-11-10T00:00:00"/>
        <d v="2013-12-21T00:00:00"/>
        <d v="2012-06-01T00:00:00"/>
        <d v="2013-11-02T00:00:00"/>
        <d v="2019-01-19T00:00:00"/>
        <d v="2020-05-20T00:00:00"/>
        <d v="2022-01-24T00:00:00"/>
        <d v="2022-06-08T00:00:00"/>
        <d v="2023-03-28T00:00:00"/>
        <d v="2011-02-26T00:00:00"/>
        <d v="2015-02-27T00:00:00"/>
        <d v="2018-10-25T00:00:00"/>
        <d v="2015-07-31T00:00:00"/>
        <d v="2020-05-03T00:00:00"/>
        <d v="2022-05-18T00:00:00"/>
        <d v="2010-08-01T00:00:00"/>
        <d v="2023-12-25T00:00:00"/>
        <d v="2020-03-05T00:00:00"/>
        <d v="2018-10-09T00:00:00"/>
        <d v="2021-07-18T00:00:00"/>
        <d v="2023-01-29T00:00:00"/>
        <d v="2024-08-25T00:00:00"/>
        <d v="2019-01-27T00:00:00"/>
        <d v="2023-05-10T00:00:00"/>
        <d v="2012-04-20T00:00:00"/>
        <d v="2019-03-26T00:00:00"/>
        <d v="2022-08-23T00:00:00"/>
        <d v="2018-04-23T00:00:00"/>
        <d v="2023-07-05T00:00:00"/>
        <d v="2022-09-07T00:00:00"/>
        <d v="2015-08-28T00:00:00"/>
        <d v="2015-10-11T00:00:00"/>
        <d v="2012-03-21T00:00:00"/>
        <d v="2022-05-25T00:00:00"/>
        <d v="2023-09-25T00:00:00"/>
        <d v="2019-06-25T00:00:00"/>
        <d v="2021-11-27T00:00:00"/>
        <d v="2023-11-08T00:00:00"/>
        <d v="2025-12-20T00:00:00"/>
        <d v="2013-05-30T00:00:00"/>
        <d v="2023-12-29T00:00:00"/>
        <d v="2015-08-11T00:00:00"/>
        <d v="2017-10-14T00:00:00"/>
        <d v="2020-02-26T00:00:00"/>
        <d v="2019-11-24T00:00:00"/>
        <d v="2025-11-20T00:00:00"/>
        <d v="2010-10-09T00:00:00"/>
        <d v="2011-03-24T00:00:00"/>
        <d v="2014-02-03T00:00:00"/>
        <d v="2019-03-05T00:00:00"/>
        <d v="2017-06-17T00:00:00"/>
        <d v="2024-03-17T00:00:00"/>
        <d v="2012-03-14T00:00:00"/>
        <d v="2017-06-23T00:00:00"/>
        <d v="2011-06-09T00:00:00"/>
        <d v="2010-02-12T00:00:00"/>
        <d v="2023-07-19T00:00:00"/>
        <d v="2025-05-01T00:00:00"/>
        <d v="2014-09-08T00:00:00"/>
        <d v="2021-03-25T00:00:00"/>
        <d v="2014-10-21T00:00:00"/>
        <d v="2010-09-25T00:00:00"/>
        <d v="2019-09-02T00:00:00"/>
        <d v="2025-01-23T00:00:00"/>
        <d v="2023-11-27T00:00:00"/>
        <d v="2025-02-10T00:00:00"/>
        <d v="2025-05-18T00:00:00"/>
        <d v="2018-11-10T00:00:00"/>
        <d v="2016-01-15T00:00:00"/>
        <d v="2015-04-04T00:00:00"/>
        <d v="2020-08-09T00:00:00"/>
        <d v="2022-04-14T00:00:00"/>
        <d v="2023-07-04T00:00:00"/>
        <d v="2018-05-03T00:00:00"/>
        <d v="2017-04-01T00:00:00"/>
        <d v="2022-10-25T00:00:00"/>
        <d v="2011-11-21T00:00:00"/>
        <d v="2025-03-29T00:00:00"/>
        <d v="2013-02-08T00:00:00"/>
        <d v="2025-07-24T00:00:00"/>
        <d v="2013-09-16T00:00:00"/>
        <d v="2017-01-09T00:00:00"/>
        <d v="2026-04-21T00:00:00"/>
        <d v="2017-04-21T00:00:00"/>
        <d v="2015-05-30T00:00:00"/>
        <d v="2022-09-10T00:00:00"/>
        <d v="2011-04-02T00:00:00"/>
        <d v="2023-05-11T00:00:00"/>
        <d v="2017-12-30T00:00:00"/>
        <d v="2023-10-10T00:00:00"/>
        <d v="2019-02-27T00:00:00"/>
        <d v="2011-12-02T00:00:00"/>
        <d v="2012-03-16T00:00:00"/>
        <d v="2015-03-29T00:00:00"/>
        <d v="2025-05-04T00:00:00"/>
        <d v="2019-08-01T00:00:00"/>
        <d v="2017-07-13T00:00:00"/>
        <d v="2025-12-12T00:00:00"/>
        <d v="2019-05-16T00:00:00"/>
        <d v="2022-05-20T00:00:00"/>
        <d v="2023-11-15T00:00:00"/>
        <d v="2017-03-08T00:00:00"/>
        <d v="2024-04-14T00:00:00"/>
        <d v="2026-05-24T00:00:00"/>
        <d v="2012-03-09T00:00:00"/>
        <d v="2021-11-02T00:00:00"/>
        <d v="2020-07-26T00:00:00"/>
        <d v="2022-05-31T00:00:00"/>
        <d v="2013-04-23T00:00:00"/>
        <d v="2014-03-01T00:00:00"/>
        <d v="2023-08-14T00:00:00"/>
        <d v="2015-06-23T00:00:00"/>
        <d v="2026-03-30T00:00:00"/>
        <d v="2023-10-13T00:00:00"/>
        <d v="2024-09-22T00:00:00"/>
        <d v="2021-07-02T00:00:00"/>
        <d v="2024-02-16T00:00:00"/>
        <d v="2025-08-27T00:00:00"/>
        <d v="2025-08-07T00:00:00"/>
        <d v="2022-03-15T00:00:00"/>
        <d v="2024-06-05T00:00:00"/>
        <d v="2014-01-29T00:00:00"/>
        <d v="2017-03-31T00:00:00"/>
        <d v="2017-08-18T00:00:00"/>
        <d v="2012-05-05T00:00:00"/>
        <d v="2014-11-29T00:00:00"/>
        <d v="2024-02-02T00:00:00"/>
        <d v="2010-05-18T00:00:00"/>
        <d v="2016-11-22T00:00:00"/>
        <d v="2021-03-02T00:00:00"/>
        <d v="2024-10-10T00:00:00"/>
        <d v="2016-10-10T00:00:00"/>
        <d v="2017-10-07T00:00:00"/>
        <d v="2017-02-08T00:00:00"/>
        <d v="2016-07-10T00:00:00"/>
        <d v="2016-02-23T00:00:00"/>
        <d v="2015-03-09T00:00:00"/>
        <d v="2019-01-28T00:00:00"/>
        <d v="2015-05-10T00:00:00"/>
        <d v="2024-01-02T00:00:00"/>
        <d v="2017-03-25T00:00:00"/>
        <d v="2021-09-21T00:00:00"/>
        <d v="2012-10-31T00:00:00"/>
        <d v="2021-01-24T00:00:00"/>
        <d v="2019-07-22T00:00:00"/>
        <d v="2020-12-10T00:00:00"/>
        <d v="2024-12-09T00:00:00"/>
        <d v="2021-04-29T00:00:00"/>
        <d v="2018-08-19T00:00:00"/>
        <d v="2012-03-25T00:00:00"/>
        <d v="2024-11-07T00:00:00"/>
        <d v="2018-01-06T00:00:00"/>
        <d v="2015-06-09T00:00:00"/>
        <d v="2011-05-05T00:00:00"/>
        <d v="2026-01-05T00:00:00"/>
        <d v="2021-10-18T00:00:00"/>
        <d v="2018-01-10T00:00:00"/>
        <d v="2011-07-21T00:00:00"/>
        <d v="2023-12-18T00:00:00"/>
        <d v="2013-07-28T00:00:00"/>
        <d v="2010-05-27T00:00:00"/>
        <d v="2016-12-24T00:00:00"/>
        <d v="2017-01-23T00:00:00"/>
        <d v="2015-08-01T00:00:00"/>
        <d v="2026-02-24T00:00:00"/>
        <d v="2020-12-03T00:00:00"/>
        <d v="2022-09-13T00:00:00"/>
        <d v="2022-04-24T00:00:00"/>
        <d v="2015-11-09T00:00:00"/>
        <d v="2010-06-24T00:00:00"/>
        <d v="2019-04-16T00:00:00"/>
        <d v="2025-10-03T00:00:00"/>
        <d v="2024-09-27T00:00:00"/>
        <d v="2022-01-25T00:00:00"/>
        <d v="2024-10-22T00:00:00"/>
        <d v="2020-05-29T00:00:00"/>
        <d v="2010-07-14T00:00:00"/>
        <d v="2021-03-11T00:00:00"/>
        <d v="2017-10-09T00:00:00"/>
        <d v="2011-02-04T00:00:00"/>
        <d v="2010-11-15T00:00:00"/>
        <d v="2023-01-23T00:00:00"/>
        <d v="2026-02-23T00:00:00"/>
        <d v="2019-01-29T00:00:00"/>
        <d v="2023-08-08T00:00:00"/>
        <d v="2017-10-04T00:00:00"/>
        <d v="2026-05-02T00:00:00"/>
        <d v="2020-02-04T00:00:00"/>
        <d v="2016-05-14T00:00:00"/>
        <d v="2025-06-14T00:00:00"/>
        <d v="2012-12-11T00:00:00"/>
        <d v="2018-01-09T00:00:00"/>
        <d v="2014-12-10T00:00:00"/>
        <d v="2015-10-21T00:00:00"/>
        <d v="2019-10-13T00:00:00"/>
        <d v="2014-01-07T00:00:00"/>
        <d v="2015-12-27T00:00:00"/>
        <d v="2024-09-15T00:00:00"/>
        <d v="2011-09-15T00:00:00"/>
        <d v="2011-11-29T00:00:00"/>
        <d v="2012-09-23T00:00:00"/>
        <d v="2016-03-18T00:00:00"/>
        <d v="2015-09-14T00:00:00"/>
        <d v="2024-09-30T00:00:00"/>
        <d v="2013-03-27T00:00:00"/>
        <d v="2016-06-09T00:00:00"/>
        <d v="2012-10-02T00:00:00"/>
        <d v="2011-06-13T00:00:00"/>
        <d v="2015-11-20T00:00:00"/>
        <d v="2020-07-20T00:00:00"/>
        <d v="2010-07-20T00:00:00"/>
        <d v="2010-08-04T00:00:00"/>
        <d v="2012-04-23T00:00:00"/>
        <d v="2025-06-19T00:00:00"/>
        <d v="2014-05-28T00:00:00"/>
        <d v="2020-03-26T00:00:00"/>
        <d v="2010-10-25T00:00:00"/>
        <d v="2025-01-26T00:00:00"/>
        <d v="2022-02-17T00:00:00"/>
        <d v="2015-08-30T00:00:00"/>
        <d v="2016-03-01T00:00:00"/>
        <d v="2013-08-04T00:00:00"/>
        <d v="2023-02-13T00:00:00"/>
        <d v="2010-02-20T00:00:00"/>
        <d v="2012-03-03T00:00:00"/>
        <d v="2015-03-16T00:00:00"/>
        <d v="2016-04-14T00:00:00"/>
        <d v="2016-08-31T00:00:00"/>
        <d v="2010-05-09T00:00:00"/>
        <d v="2017-01-07T00:00:00"/>
        <d v="2010-08-22T00:00:00"/>
        <d v="2012-09-24T00:00:00"/>
        <d v="2012-11-25T00:00:00"/>
        <d v="2015-12-04T00:00:00"/>
        <d v="2020-12-30T00:00:00"/>
        <d v="2015-11-04T00:00:00"/>
        <d v="2010-11-27T00:00:00"/>
        <d v="2017-11-15T00:00:00"/>
        <d v="2018-07-31T00:00:00"/>
        <d v="2012-03-04T00:00:00"/>
        <d v="2019-09-18T00:00:00"/>
        <d v="2014-03-15T00:00:00"/>
        <d v="2019-06-14T00:00:00"/>
        <d v="2023-11-03T00:00:00"/>
        <d v="2012-04-19T00:00:00"/>
        <d v="2017-03-22T00:00:00"/>
        <d v="2014-03-12T00:00:00"/>
        <d v="2019-11-06T00:00:00"/>
        <d v="2024-02-28T00:00:00"/>
        <d v="2011-10-10T00:00:00"/>
        <d v="2014-03-21T00:00:00"/>
        <d v="2014-03-27T00:00:00"/>
        <d v="2023-04-14T00:00:00"/>
        <d v="2023-03-23T00:00:00"/>
        <d v="2021-05-02T00:00:00"/>
        <d v="2025-03-24T00:00:00"/>
        <d v="2011-05-27T00:00:00"/>
        <d v="2025-03-03T00:00:00"/>
        <d v="2015-01-03T00:00:00"/>
        <d v="2020-01-10T00:00:00"/>
        <d v="2014-02-05T00:00:00"/>
        <d v="2013-02-18T00:00:00"/>
        <d v="2017-09-08T00:00:00"/>
        <d v="2023-02-09T00:00:00"/>
        <d v="2012-07-28T00:00:00"/>
        <d v="2020-01-22T00:00:00"/>
        <d v="2011-08-18T00:00:00"/>
        <d v="2023-10-11T00:00:00"/>
        <d v="2024-09-19T00:00:00"/>
        <d v="2011-10-15T00:00:00"/>
        <d v="2023-04-25T00:00:00"/>
        <d v="2021-03-13T00:00:00"/>
        <d v="2017-10-08T00:00:00"/>
        <d v="2026-06-01T00:00:00"/>
        <d v="2013-09-15T00:00:00"/>
        <d v="2013-02-02T00:00:00"/>
        <d v="2022-06-29T00:00:00"/>
        <d v="2018-01-18T00:00:00"/>
        <d v="2024-11-18T00:00:00"/>
        <d v="2012-05-23T00:00:00"/>
        <d v="2020-03-13T00:00:00"/>
        <d v="2024-05-05T00:00:00"/>
        <d v="2014-09-22T00:00:00"/>
        <d v="2022-10-30T00:00:00"/>
        <d v="2023-02-21T00:00:00"/>
        <d v="2024-02-09T00:00:00"/>
        <d v="2017-03-15T00:00:00"/>
        <d v="2026-05-07T00:00:00"/>
        <d v="2013-09-19T00:00:00"/>
        <d v="2012-04-04T00:00:00"/>
        <d v="2010-12-21T00:00:00"/>
        <d v="2010-10-20T00:00:00"/>
        <d v="2021-09-09T00:00:00"/>
        <d v="2023-02-26T00:00:00"/>
        <d v="2015-02-15T00:00:00"/>
        <d v="2011-03-20T00:00:00"/>
        <d v="2017-10-20T00:00:00"/>
        <d v="2016-05-24T00:00:00"/>
        <d v="2012-12-28T00:00:00"/>
        <d v="2025-05-10T00:00:00"/>
        <d v="2013-10-12T00:00:00"/>
        <d v="2024-06-26T00:00:00"/>
        <d v="2015-01-08T00:00:00"/>
        <d v="2017-01-15T00:00:00"/>
        <d v="2015-07-12T00:00:00"/>
        <d v="2014-08-22T00:00:00"/>
        <d v="2020-01-11T00:00:00"/>
        <d v="2022-05-19T00:00:00"/>
        <d v="2019-07-20T00:00:00"/>
        <d v="2024-12-25T00:00:00"/>
        <d v="2018-08-03T00:00:00"/>
        <d v="2019-01-13T00:00:00"/>
        <d v="2025-04-09T00:00:00"/>
        <d v="2019-05-14T00:00:00"/>
        <d v="2020-02-14T00:00:00"/>
        <d v="2018-08-08T00:00:00"/>
        <d v="2019-10-06T00:00:00"/>
        <d v="2021-07-23T00:00:00"/>
        <d v="2018-05-24T00:00:00"/>
        <d v="2014-08-24T00:00:00"/>
        <d v="2012-04-18T00:00:00"/>
        <d v="2025-05-30T00:00:00"/>
        <d v="2021-04-07T00:00:00"/>
        <d v="2019-01-30T00:00:00"/>
        <d v="2023-12-15T00:00:00"/>
        <d v="2013-02-24T00:00:00"/>
        <d v="2013-11-28T00:00:00"/>
        <d v="2022-12-30T00:00:00"/>
        <d v="2023-01-07T00:00:00"/>
        <d v="2021-11-01T00:00:00"/>
        <d v="2019-09-05T00:00:00"/>
        <d v="2019-04-22T00:00:00"/>
        <d v="2013-08-31T00:00:00"/>
        <d v="2022-01-23T00:00:00"/>
        <d v="2026-02-10T00:00:00"/>
        <d v="2010-07-19T00:00:00"/>
        <d v="2022-03-16T00:00:00"/>
        <d v="2016-05-12T00:00:00"/>
        <d v="2019-10-09T00:00:00"/>
        <d v="2017-12-17T00:00:00"/>
        <d v="2013-03-30T00:00:00"/>
        <d v="2015-04-13T00:00:00"/>
        <d v="2020-11-26T00:00:00"/>
        <d v="2010-04-01T00:00:00"/>
        <d v="2023-01-10T00:00:00"/>
        <d v="2017-10-05T00:00:00"/>
        <d v="2021-01-26T00:00:00"/>
        <d v="2010-12-03T00:00:00"/>
        <d v="2018-07-13T00:00:00"/>
        <d v="2022-03-25T00:00:00"/>
        <d v="2010-11-09T00:00:00"/>
        <d v="2025-10-13T00:00:00"/>
        <d v="2026-04-16T00:00:00"/>
        <d v="2010-05-25T00:00:00"/>
        <d v="2019-05-10T00:00:00"/>
        <d v="2016-07-25T00:00:00"/>
        <d v="2010-02-04T00:00:00"/>
        <d v="2019-04-12T00:00:00"/>
        <d v="2018-12-14T00:00:00"/>
        <d v="2011-05-24T00:00:00"/>
        <d v="2019-10-16T00:00:00"/>
        <d v="2010-01-29T00:00:00"/>
        <d v="2023-12-22T00:00:00"/>
        <d v="2017-06-25T00:00:00"/>
        <d v="2010-06-08T00:00:00"/>
        <d v="2023-06-17T00:00:00"/>
        <d v="2016-05-01T00:00:00"/>
        <d v="2024-07-07T00:00:00"/>
        <d v="2023-09-30T00:00:00"/>
        <d v="2022-07-19T00:00:00"/>
        <d v="2021-09-25T00:00:00"/>
        <d v="2018-07-18T00:00:00"/>
        <d v="2021-07-17T00:00:00"/>
        <d v="2010-01-17T00:00:00"/>
        <d v="2011-04-27T00:00:00"/>
        <d v="2022-04-10T00:00:00"/>
        <d v="2017-06-14T00:00:00"/>
        <d v="2025-09-02T00:00:00"/>
        <d v="2017-02-19T00:00:00"/>
        <d v="2023-08-17T00:00:00"/>
        <d v="2015-10-29T00:00:00"/>
        <d v="2014-08-30T00:00:00"/>
        <d v="2020-11-17T00:00:00"/>
        <d v="2016-02-29T00:00:00"/>
        <d v="2018-03-08T00:00:00"/>
        <d v="2023-01-01T00:00:00"/>
        <d v="2020-07-21T00:00:00"/>
        <d v="2010-03-30T00:00:00"/>
        <d v="2019-02-23T00:00:00"/>
        <d v="2019-09-29T00:00:00"/>
        <d v="2020-07-11T00:00:00"/>
        <d v="2022-05-26T00:00:00"/>
        <d v="2012-04-08T00:00:00"/>
        <d v="2020-04-07T00:00:00"/>
        <d v="2014-09-02T00:00:00"/>
        <d v="2026-01-07T00:00:00"/>
        <d v="2019-10-08T00:00:00"/>
        <d v="2017-09-04T00:00:00"/>
        <d v="2025-08-21T00:00:00"/>
        <d v="2019-07-05T00:00:00"/>
        <d v="2024-01-30T00:00:00"/>
        <d v="2013-06-30T00:00:00"/>
        <d v="2019-11-02T00:00:00"/>
        <d v="2019-11-09T00:00:00"/>
        <d v="2018-11-30T00:00:00"/>
        <d v="2011-06-07T00:00:00"/>
        <d v="2014-04-22T00:00:00"/>
        <d v="2021-09-20T00:00:00"/>
        <d v="2021-06-30T00:00:00"/>
        <d v="2026-01-29T00:00:00"/>
        <d v="2017-11-07T00:00:00"/>
        <d v="2022-10-31T00:00:00"/>
        <d v="2021-01-27T00:00:00"/>
        <d v="2021-06-17T00:00:00"/>
        <d v="2014-04-15T00:00:00"/>
        <d v="2023-07-12T00:00:00"/>
        <d v="2015-03-18T00:00:00"/>
        <d v="2017-12-09T00:00:00"/>
        <d v="2025-08-08T00:00:00"/>
        <d v="2020-09-10T00:00:00"/>
        <d v="2011-12-26T00:00:00"/>
        <d v="2014-05-30T00:00:00"/>
        <d v="2012-01-28T00:00:00"/>
        <d v="2016-10-02T00:00:00"/>
        <d v="2020-06-25T00:00:00"/>
        <d v="2014-07-30T00:00:00"/>
        <d v="2012-05-01T00:00:00"/>
        <d v="2019-12-06T00:00:00"/>
        <d v="2011-12-28T00:00:00"/>
        <d v="2019-12-12T00:00:00"/>
        <d v="2025-06-11T00:00:00"/>
        <d v="2025-09-29T00:00:00"/>
        <d v="2021-01-15T00:00:00"/>
        <d v="2017-03-11T00:00:00"/>
        <d v="2016-05-10T00:00:00"/>
        <d v="2019-08-14T00:00:00"/>
        <d v="2018-06-30T00:00:00"/>
        <d v="2026-04-10T00:00:00"/>
        <d v="2014-08-18T00:00:00"/>
        <d v="2013-02-12T00:00:00"/>
        <d v="2010-03-21T00:00:00"/>
        <d v="2024-05-30T00:00:00"/>
        <d v="2024-01-21T00:00:00"/>
        <d v="2013-03-10T00:00:00"/>
        <d v="2018-06-06T00:00:00"/>
        <d v="2014-07-19T00:00:00"/>
        <d v="2015-04-26T00:00:00"/>
        <d v="2015-10-17T00:00:00"/>
        <d v="2019-01-31T00:00:00"/>
        <d v="2013-05-28T00:00:00"/>
        <d v="2011-10-18T00:00:00"/>
        <d v="2015-07-07T00:00:00"/>
        <d v="2024-03-16T00:00:00"/>
        <d v="2016-08-27T00:00:00"/>
        <d v="2013-01-27T00:00:00"/>
        <d v="2022-10-29T00:00:00"/>
        <d v="2020-06-09T00:00:00"/>
        <d v="2026-05-08T00:00:00"/>
        <d v="2011-04-13T00:00:00"/>
        <d v="2016-12-06T00:00:00"/>
        <d v="2014-04-05T00:00:00"/>
        <d v="2011-07-09T00:00:00"/>
        <d v="2014-12-26T00:00:00"/>
        <d v="2017-12-05T00:00:00"/>
        <d v="2014-01-04T00:00:00"/>
        <d v="2015-04-19T00:00:00"/>
        <d v="2011-06-28T00:00:00"/>
        <d v="2021-05-15T00:00:00"/>
        <d v="2017-03-27T00:00:00"/>
        <d v="2026-04-22T00:00:00"/>
        <d v="2022-07-01T00:00:00"/>
        <d v="2010-03-03T00:00:00"/>
        <d v="2014-10-01T00:00:00"/>
        <d v="2016-02-02T00:00:00"/>
        <d v="2013-07-20T00:00:00"/>
        <d v="2014-04-16T00:00:00"/>
        <d v="2023-09-09T00:00:00"/>
        <d v="2023-04-19T00:00:00"/>
        <d v="2012-05-26T00:00:00"/>
        <d v="2011-07-20T00:00:00"/>
        <d v="2025-04-12T00:00:00"/>
        <d v="2013-04-03T00:00:00"/>
        <d v="2021-09-27T00:00:00"/>
        <d v="2010-05-23T00:00:00"/>
        <d v="2025-10-29T00:00:00"/>
        <d v="2017-08-17T00:00:00"/>
        <d v="2022-06-30T00:00:00"/>
        <d v="2015-12-12T00:00:00"/>
      </sharedItems>
      <fieldGroup par="19" base="4">
        <rangePr groupBy="months" startDate="2010-01-05T00:00:00" endDate="2026-06-02T00:00:00"/>
        <groupItems count="14">
          <s v="&lt;05-01-10"/>
          <s v="Jan"/>
          <s v="Feb"/>
          <s v="Mar"/>
          <s v="Apr"/>
          <s v="May"/>
          <s v="Jun"/>
          <s v="Jul"/>
          <s v="Aug"/>
          <s v="Sep"/>
          <s v="Oct"/>
          <s v="Nov"/>
          <s v="Dec"/>
          <s v="&gt;02-06-26"/>
        </groupItems>
      </fieldGroup>
    </cacheField>
    <cacheField name="Launch_Site" numFmtId="0">
      <sharedItems/>
    </cacheField>
    <cacheField name="Rocket" numFmtId="0">
      <sharedItems count="6">
        <s v="H3"/>
        <s v="Long March 5"/>
        <s v="Soyuz"/>
        <s v="GSLV Mk III"/>
        <s v="Falcon 9"/>
        <s v="Ariane 6"/>
      </sharedItems>
    </cacheField>
    <cacheField name="Mission_Type" numFmtId="0">
      <sharedItems count="6">
        <s v="ISS Resupply"/>
        <s v="Mars"/>
        <s v="Earth Observation"/>
        <s v="Deep Space"/>
        <s v="Satellite"/>
        <s v="Lunar"/>
      </sharedItems>
    </cacheField>
    <cacheField name="Destination" numFmtId="0">
      <sharedItems count="6">
        <s v="GEO"/>
        <s v="Asteroid Belt"/>
        <s v="Mars"/>
        <s v="LEO"/>
        <s v="Moon"/>
        <s v="ISS"/>
      </sharedItems>
    </cacheField>
    <cacheField name="Crew_Size" numFmtId="0">
      <sharedItems containsSemiMixedTypes="0" containsString="0" containsNumber="1" containsInteger="1" minValue="0" maxValue="8"/>
    </cacheField>
    <cacheField name="Mission_Duration_Days" numFmtId="0">
      <sharedItems containsSemiMixedTypes="0" containsString="0" containsNumber="1" containsInteger="1" minValue="1" maxValue="1500"/>
    </cacheField>
    <cacheField name="Budget_Million_USD" numFmtId="0">
      <sharedItems containsSemiMixedTypes="0" containsString="0" containsNumber="1" minValue="50.05" maxValue="4997.54"/>
    </cacheField>
    <cacheField name="Payload_kg" numFmtId="0">
      <sharedItems containsSemiMixedTypes="0" containsString="0" containsNumber="1" containsInteger="1" minValue="133" maxValue="49999"/>
    </cacheField>
    <cacheField name="Launch_Status" numFmtId="0">
      <sharedItems count="3">
        <s v="Success"/>
        <s v="Partial Success"/>
        <s v="Failure"/>
      </sharedItems>
    </cacheField>
    <cacheField name="Mission_Status" numFmtId="0">
      <sharedItems count="4">
        <s v="Completed"/>
        <s v="Active"/>
        <s v="Extended"/>
        <s v="Planned"/>
      </sharedItems>
    </cacheField>
    <cacheField name="Orbit_Type" numFmtId="0">
      <sharedItems/>
    </cacheField>
    <cacheField name="Scientific_Experiments" numFmtId="0">
      <sharedItems containsSemiMixedTypes="0" containsString="0" containsNumber="1" containsInteger="1" minValue="1" maxValue="50"/>
    </cacheField>
    <cacheField name="Data_Collected_TB" numFmtId="0">
      <sharedItems containsSemiMixedTypes="0" containsString="0" containsNumber="1" minValue="0.86" maxValue="249.97"/>
    </cacheField>
    <cacheField name="Quarters" numFmtId="0" databaseField="0">
      <fieldGroup base="4">
        <rangePr groupBy="quarters" startDate="2010-01-05T00:00:00" endDate="2026-06-02T00:00:00"/>
        <groupItems count="6">
          <s v="&lt;05-01-10"/>
          <s v="Qtr1"/>
          <s v="Qtr2"/>
          <s v="Qtr3"/>
          <s v="Qtr4"/>
          <s v="&gt;02-06-26"/>
        </groupItems>
      </fieldGroup>
    </cacheField>
    <cacheField name="Years" numFmtId="0" databaseField="0">
      <fieldGroup base="4">
        <rangePr groupBy="years" startDate="2010-01-05T00:00:00" endDate="2026-06-02T00:00:00"/>
        <groupItems count="19">
          <s v="&lt;05-01-10"/>
          <s v="2010"/>
          <s v="2011"/>
          <s v="2012"/>
          <s v="2013"/>
          <s v="2014"/>
          <s v="2015"/>
          <s v="2016"/>
          <s v="2017"/>
          <s v="2018"/>
          <s v="2019"/>
          <s v="2020"/>
          <s v="2021"/>
          <s v="2022"/>
          <s v="2023"/>
          <s v="2024"/>
          <s v="2025"/>
          <s v="2026"/>
          <s v="&gt;02-06-26"/>
        </groupItems>
      </fieldGroup>
    </cacheField>
  </cacheFields>
  <extLst>
    <ext xmlns:x14="http://schemas.microsoft.com/office/spreadsheetml/2009/9/main" uri="{725AE2AE-9491-48be-B2B4-4EB974FC3084}">
      <x14:pivotCacheDefinition pivotCacheId="1247070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SM-00001"/>
    <s v="Mission_1"/>
    <x v="0"/>
    <x v="0"/>
    <x v="0"/>
    <s v="Sriharikota"/>
    <x v="0"/>
    <x v="0"/>
    <x v="0"/>
    <n v="8"/>
    <n v="1163"/>
    <n v="1113.8900000000001"/>
    <n v="40215"/>
    <x v="0"/>
    <x v="0"/>
    <s v="Transfer Orbit"/>
    <n v="50"/>
    <n v="167"/>
  </r>
  <r>
    <s v="SM-00002"/>
    <s v="Mission_2"/>
    <x v="1"/>
    <x v="1"/>
    <x v="1"/>
    <s v="Sriharikota"/>
    <x v="1"/>
    <x v="1"/>
    <x v="1"/>
    <n v="3"/>
    <n v="339"/>
    <n v="274.57"/>
    <n v="35802"/>
    <x v="1"/>
    <x v="1"/>
    <s v="MEO"/>
    <n v="22"/>
    <n v="126.56"/>
  </r>
  <r>
    <s v="SM-00003"/>
    <s v="Mission_3"/>
    <x v="2"/>
    <x v="2"/>
    <x v="2"/>
    <s v="Kennedy"/>
    <x v="2"/>
    <x v="0"/>
    <x v="2"/>
    <n v="1"/>
    <n v="403"/>
    <n v="3906.26"/>
    <n v="14208"/>
    <x v="0"/>
    <x v="0"/>
    <s v="Sun-Synchronous"/>
    <n v="16"/>
    <n v="247.25"/>
  </r>
  <r>
    <s v="SM-00004"/>
    <s v="Mission_4"/>
    <x v="0"/>
    <x v="2"/>
    <x v="3"/>
    <s v="Tanegashima"/>
    <x v="3"/>
    <x v="2"/>
    <x v="3"/>
    <n v="5"/>
    <n v="982"/>
    <n v="2860.64"/>
    <n v="6326"/>
    <x v="1"/>
    <x v="0"/>
    <s v="Polar"/>
    <n v="34"/>
    <n v="232.59"/>
  </r>
  <r>
    <s v="SM-00005"/>
    <s v="Mission_5"/>
    <x v="1"/>
    <x v="1"/>
    <x v="4"/>
    <s v="Tanegashima"/>
    <x v="1"/>
    <x v="3"/>
    <x v="1"/>
    <n v="7"/>
    <n v="137"/>
    <n v="3402.74"/>
    <n v="20488"/>
    <x v="0"/>
    <x v="2"/>
    <s v="LEO"/>
    <n v="13"/>
    <n v="187.93"/>
  </r>
  <r>
    <s v="SM-00006"/>
    <s v="Mission_6"/>
    <x v="0"/>
    <x v="3"/>
    <x v="5"/>
    <s v="Kourou"/>
    <x v="0"/>
    <x v="0"/>
    <x v="1"/>
    <n v="5"/>
    <n v="715"/>
    <n v="2151.34"/>
    <n v="16481"/>
    <x v="2"/>
    <x v="3"/>
    <s v="LEO"/>
    <n v="34"/>
    <n v="155.53"/>
  </r>
  <r>
    <s v="SM-00007"/>
    <s v="Mission_7"/>
    <x v="2"/>
    <x v="3"/>
    <x v="6"/>
    <s v="Jiuquan"/>
    <x v="3"/>
    <x v="1"/>
    <x v="2"/>
    <n v="3"/>
    <n v="1054"/>
    <n v="2004.91"/>
    <n v="41858"/>
    <x v="0"/>
    <x v="0"/>
    <s v="Sun-Synchronous"/>
    <n v="36"/>
    <n v="145.01"/>
  </r>
  <r>
    <s v="SM-00008"/>
    <s v="Mission_8"/>
    <x v="3"/>
    <x v="0"/>
    <x v="7"/>
    <s v="Baikonur"/>
    <x v="3"/>
    <x v="4"/>
    <x v="1"/>
    <n v="5"/>
    <n v="515"/>
    <n v="845.43"/>
    <n v="49229"/>
    <x v="2"/>
    <x v="2"/>
    <s v="Polar"/>
    <n v="21"/>
    <n v="214.85"/>
  </r>
  <r>
    <s v="SM-00009"/>
    <s v="Mission_9"/>
    <x v="3"/>
    <x v="0"/>
    <x v="8"/>
    <s v="Jiuquan"/>
    <x v="0"/>
    <x v="0"/>
    <x v="0"/>
    <n v="1"/>
    <n v="1123"/>
    <n v="1577.72"/>
    <n v="22060"/>
    <x v="1"/>
    <x v="3"/>
    <s v="GEO"/>
    <n v="29"/>
    <n v="61.9"/>
  </r>
  <r>
    <s v="SM-00010"/>
    <s v="Mission_10"/>
    <x v="1"/>
    <x v="0"/>
    <x v="9"/>
    <s v="Sriharikota"/>
    <x v="3"/>
    <x v="5"/>
    <x v="4"/>
    <n v="5"/>
    <n v="121"/>
    <n v="3659.46"/>
    <n v="48336"/>
    <x v="0"/>
    <x v="2"/>
    <s v="MEO"/>
    <n v="45"/>
    <n v="244.48"/>
  </r>
  <r>
    <s v="SM-00011"/>
    <s v="Mission_11"/>
    <x v="4"/>
    <x v="0"/>
    <x v="10"/>
    <s v="Tanegashima"/>
    <x v="3"/>
    <x v="3"/>
    <x v="3"/>
    <n v="8"/>
    <n v="1166"/>
    <n v="2643.26"/>
    <n v="31940"/>
    <x v="0"/>
    <x v="0"/>
    <s v="GEO"/>
    <n v="40"/>
    <n v="180.72"/>
  </r>
  <r>
    <s v="SM-00012"/>
    <s v="Mission_12"/>
    <x v="1"/>
    <x v="4"/>
    <x v="11"/>
    <s v="Kennedy"/>
    <x v="4"/>
    <x v="3"/>
    <x v="1"/>
    <n v="0"/>
    <n v="1109"/>
    <n v="4365.7"/>
    <n v="6829"/>
    <x v="0"/>
    <x v="3"/>
    <s v="GEO"/>
    <n v="11"/>
    <n v="66.47"/>
  </r>
  <r>
    <s v="SM-00013"/>
    <s v="Mission_13"/>
    <x v="1"/>
    <x v="2"/>
    <x v="12"/>
    <s v="Jiuquan"/>
    <x v="2"/>
    <x v="2"/>
    <x v="1"/>
    <n v="0"/>
    <n v="859"/>
    <n v="4069.75"/>
    <n v="31797"/>
    <x v="0"/>
    <x v="2"/>
    <s v="MEO"/>
    <n v="3"/>
    <n v="182.9"/>
  </r>
  <r>
    <s v="SM-00014"/>
    <s v="Mission_14"/>
    <x v="3"/>
    <x v="0"/>
    <x v="13"/>
    <s v="Kourou"/>
    <x v="2"/>
    <x v="1"/>
    <x v="3"/>
    <n v="2"/>
    <n v="1161"/>
    <n v="3994.93"/>
    <n v="13871"/>
    <x v="1"/>
    <x v="2"/>
    <s v="MEO"/>
    <n v="7"/>
    <n v="236.69"/>
  </r>
  <r>
    <s v="SM-00015"/>
    <s v="Mission_15"/>
    <x v="3"/>
    <x v="0"/>
    <x v="14"/>
    <s v="Tanegashima"/>
    <x v="3"/>
    <x v="2"/>
    <x v="3"/>
    <n v="7"/>
    <n v="808"/>
    <n v="3951.57"/>
    <n v="36775"/>
    <x v="2"/>
    <x v="0"/>
    <s v="Polar"/>
    <n v="30"/>
    <n v="93.53"/>
  </r>
  <r>
    <s v="SM-00016"/>
    <s v="Mission_16"/>
    <x v="2"/>
    <x v="1"/>
    <x v="15"/>
    <s v="Jiuquan"/>
    <x v="2"/>
    <x v="5"/>
    <x v="5"/>
    <n v="8"/>
    <n v="378"/>
    <n v="3990.56"/>
    <n v="4222"/>
    <x v="1"/>
    <x v="0"/>
    <s v="Sun-Synchronous"/>
    <n v="8"/>
    <n v="142.43"/>
  </r>
  <r>
    <s v="SM-00017"/>
    <s v="Mission_17"/>
    <x v="1"/>
    <x v="1"/>
    <x v="16"/>
    <s v="Sriharikota"/>
    <x v="2"/>
    <x v="3"/>
    <x v="4"/>
    <n v="8"/>
    <n v="1386"/>
    <n v="4939.37"/>
    <n v="34580"/>
    <x v="1"/>
    <x v="2"/>
    <s v="Polar"/>
    <n v="30"/>
    <n v="50.81"/>
  </r>
  <r>
    <s v="SM-00018"/>
    <s v="Mission_18"/>
    <x v="5"/>
    <x v="0"/>
    <x v="17"/>
    <s v="Kennedy"/>
    <x v="3"/>
    <x v="0"/>
    <x v="4"/>
    <n v="7"/>
    <n v="242"/>
    <n v="1981.31"/>
    <n v="48352"/>
    <x v="0"/>
    <x v="2"/>
    <s v="LEO"/>
    <n v="13"/>
    <n v="186.72"/>
  </r>
  <r>
    <s v="SM-00019"/>
    <s v="Mission_19"/>
    <x v="1"/>
    <x v="0"/>
    <x v="18"/>
    <s v="Tanegashima"/>
    <x v="1"/>
    <x v="1"/>
    <x v="1"/>
    <n v="4"/>
    <n v="1461"/>
    <n v="3007.79"/>
    <n v="45333"/>
    <x v="1"/>
    <x v="3"/>
    <s v="Transfer Orbit"/>
    <n v="3"/>
    <n v="98.07"/>
  </r>
  <r>
    <s v="SM-00020"/>
    <s v="Mission_20"/>
    <x v="3"/>
    <x v="0"/>
    <x v="19"/>
    <s v="Kourou"/>
    <x v="5"/>
    <x v="2"/>
    <x v="5"/>
    <n v="0"/>
    <n v="600"/>
    <n v="4992.53"/>
    <n v="27170"/>
    <x v="1"/>
    <x v="2"/>
    <s v="MEO"/>
    <n v="17"/>
    <n v="210.81"/>
  </r>
  <r>
    <s v="SM-00021"/>
    <s v="Mission_21"/>
    <x v="2"/>
    <x v="0"/>
    <x v="20"/>
    <s v="Tanegashima"/>
    <x v="3"/>
    <x v="0"/>
    <x v="5"/>
    <n v="3"/>
    <n v="39"/>
    <n v="856.5"/>
    <n v="2393"/>
    <x v="2"/>
    <x v="3"/>
    <s v="Polar"/>
    <n v="25"/>
    <n v="30.53"/>
  </r>
  <r>
    <s v="SM-00022"/>
    <s v="Mission_22"/>
    <x v="0"/>
    <x v="4"/>
    <x v="21"/>
    <s v="Kennedy"/>
    <x v="2"/>
    <x v="1"/>
    <x v="5"/>
    <n v="4"/>
    <n v="644"/>
    <n v="796.36"/>
    <n v="47876"/>
    <x v="1"/>
    <x v="1"/>
    <s v="MEO"/>
    <n v="11"/>
    <n v="214.81"/>
  </r>
  <r>
    <s v="SM-00023"/>
    <s v="Mission_23"/>
    <x v="2"/>
    <x v="5"/>
    <x v="22"/>
    <s v="Kennedy"/>
    <x v="3"/>
    <x v="2"/>
    <x v="4"/>
    <n v="0"/>
    <n v="1158"/>
    <n v="1941.73"/>
    <n v="27723"/>
    <x v="2"/>
    <x v="1"/>
    <s v="Transfer Orbit"/>
    <n v="38"/>
    <n v="50.67"/>
  </r>
  <r>
    <s v="SM-00024"/>
    <s v="Mission_24"/>
    <x v="4"/>
    <x v="4"/>
    <x v="23"/>
    <s v="Baikonur"/>
    <x v="3"/>
    <x v="3"/>
    <x v="0"/>
    <n v="1"/>
    <n v="1458"/>
    <n v="3292.26"/>
    <n v="32083"/>
    <x v="0"/>
    <x v="1"/>
    <s v="GEO"/>
    <n v="14"/>
    <n v="217.1"/>
  </r>
  <r>
    <s v="SM-00025"/>
    <s v="Mission_25"/>
    <x v="5"/>
    <x v="1"/>
    <x v="24"/>
    <s v="Kennedy"/>
    <x v="3"/>
    <x v="1"/>
    <x v="3"/>
    <n v="1"/>
    <n v="791"/>
    <n v="3678.5"/>
    <n v="11456"/>
    <x v="1"/>
    <x v="2"/>
    <s v="GEO"/>
    <n v="49"/>
    <n v="161.06"/>
  </r>
  <r>
    <s v="SM-00026"/>
    <s v="Mission_26"/>
    <x v="6"/>
    <x v="3"/>
    <x v="25"/>
    <s v="Kennedy"/>
    <x v="0"/>
    <x v="4"/>
    <x v="4"/>
    <n v="2"/>
    <n v="17"/>
    <n v="1328.85"/>
    <n v="18653"/>
    <x v="0"/>
    <x v="3"/>
    <s v="MEO"/>
    <n v="25"/>
    <n v="243.86"/>
  </r>
  <r>
    <s v="SM-00027"/>
    <s v="Mission_27"/>
    <x v="3"/>
    <x v="0"/>
    <x v="26"/>
    <s v="Baikonur"/>
    <x v="3"/>
    <x v="1"/>
    <x v="2"/>
    <n v="4"/>
    <n v="355"/>
    <n v="529.13"/>
    <n v="12303"/>
    <x v="1"/>
    <x v="0"/>
    <s v="Transfer Orbit"/>
    <n v="15"/>
    <n v="157.94999999999999"/>
  </r>
  <r>
    <s v="SM-00028"/>
    <s v="Mission_28"/>
    <x v="6"/>
    <x v="2"/>
    <x v="27"/>
    <s v="Jiuquan"/>
    <x v="2"/>
    <x v="4"/>
    <x v="3"/>
    <n v="1"/>
    <n v="948"/>
    <n v="2495.58"/>
    <n v="42761"/>
    <x v="0"/>
    <x v="3"/>
    <s v="Transfer Orbit"/>
    <n v="12"/>
    <n v="12.53"/>
  </r>
  <r>
    <s v="SM-00029"/>
    <s v="Mission_29"/>
    <x v="3"/>
    <x v="2"/>
    <x v="28"/>
    <s v="Tanegashima"/>
    <x v="1"/>
    <x v="4"/>
    <x v="0"/>
    <n v="8"/>
    <n v="1080"/>
    <n v="4024.85"/>
    <n v="39678"/>
    <x v="1"/>
    <x v="3"/>
    <s v="Polar"/>
    <n v="49"/>
    <n v="36.9"/>
  </r>
  <r>
    <s v="SM-00030"/>
    <s v="Mission_30"/>
    <x v="2"/>
    <x v="3"/>
    <x v="29"/>
    <s v="Tanegashima"/>
    <x v="3"/>
    <x v="5"/>
    <x v="2"/>
    <n v="0"/>
    <n v="148"/>
    <n v="1420.4"/>
    <n v="34835"/>
    <x v="0"/>
    <x v="2"/>
    <s v="Transfer Orbit"/>
    <n v="15"/>
    <n v="177.25"/>
  </r>
  <r>
    <s v="SM-00031"/>
    <s v="Mission_31"/>
    <x v="4"/>
    <x v="3"/>
    <x v="30"/>
    <s v="Baikonur"/>
    <x v="1"/>
    <x v="2"/>
    <x v="0"/>
    <n v="5"/>
    <n v="1448"/>
    <n v="3128.82"/>
    <n v="18364"/>
    <x v="1"/>
    <x v="1"/>
    <s v="GEO"/>
    <n v="39"/>
    <n v="93.46"/>
  </r>
  <r>
    <s v="SM-00032"/>
    <s v="Mission_32"/>
    <x v="5"/>
    <x v="0"/>
    <x v="31"/>
    <s v="Sriharikota"/>
    <x v="1"/>
    <x v="5"/>
    <x v="2"/>
    <n v="7"/>
    <n v="428"/>
    <n v="4759.07"/>
    <n v="4774"/>
    <x v="2"/>
    <x v="1"/>
    <s v="Polar"/>
    <n v="18"/>
    <n v="88.33"/>
  </r>
  <r>
    <s v="SM-00033"/>
    <s v="Mission_33"/>
    <x v="6"/>
    <x v="5"/>
    <x v="32"/>
    <s v="Kennedy"/>
    <x v="2"/>
    <x v="5"/>
    <x v="4"/>
    <n v="0"/>
    <n v="888"/>
    <n v="881.28"/>
    <n v="20650"/>
    <x v="2"/>
    <x v="1"/>
    <s v="Transfer Orbit"/>
    <n v="20"/>
    <n v="36.21"/>
  </r>
  <r>
    <s v="SM-00034"/>
    <s v="Mission_34"/>
    <x v="4"/>
    <x v="2"/>
    <x v="33"/>
    <s v="Tanegashima"/>
    <x v="3"/>
    <x v="2"/>
    <x v="3"/>
    <n v="7"/>
    <n v="371"/>
    <n v="729.64"/>
    <n v="16058"/>
    <x v="1"/>
    <x v="1"/>
    <s v="Polar"/>
    <n v="11"/>
    <n v="36.299999999999997"/>
  </r>
  <r>
    <s v="SM-00035"/>
    <s v="Mission_35"/>
    <x v="6"/>
    <x v="1"/>
    <x v="34"/>
    <s v="Kennedy"/>
    <x v="0"/>
    <x v="1"/>
    <x v="3"/>
    <n v="8"/>
    <n v="1012"/>
    <n v="4842.97"/>
    <n v="30956"/>
    <x v="2"/>
    <x v="1"/>
    <s v="Polar"/>
    <n v="3"/>
    <n v="4.76"/>
  </r>
  <r>
    <s v="SM-00036"/>
    <s v="Mission_36"/>
    <x v="3"/>
    <x v="5"/>
    <x v="35"/>
    <s v="Tanegashima"/>
    <x v="3"/>
    <x v="4"/>
    <x v="5"/>
    <n v="8"/>
    <n v="436"/>
    <n v="1133.05"/>
    <n v="13097"/>
    <x v="0"/>
    <x v="0"/>
    <s v="Transfer Orbit"/>
    <n v="14"/>
    <n v="45.02"/>
  </r>
  <r>
    <s v="SM-00037"/>
    <s v="Mission_37"/>
    <x v="5"/>
    <x v="4"/>
    <x v="36"/>
    <s v="Tanegashima"/>
    <x v="2"/>
    <x v="5"/>
    <x v="1"/>
    <n v="8"/>
    <n v="382"/>
    <n v="3960.91"/>
    <n v="18171"/>
    <x v="0"/>
    <x v="3"/>
    <s v="GEO"/>
    <n v="27"/>
    <n v="170.2"/>
  </r>
  <r>
    <s v="SM-00038"/>
    <s v="Mission_38"/>
    <x v="5"/>
    <x v="0"/>
    <x v="37"/>
    <s v="Baikonur"/>
    <x v="1"/>
    <x v="2"/>
    <x v="0"/>
    <n v="4"/>
    <n v="446"/>
    <n v="3185.1"/>
    <n v="19697"/>
    <x v="2"/>
    <x v="1"/>
    <s v="GEO"/>
    <n v="4"/>
    <n v="29.49"/>
  </r>
  <r>
    <s v="SM-00039"/>
    <s v="Mission_39"/>
    <x v="6"/>
    <x v="0"/>
    <x v="38"/>
    <s v="Sriharikota"/>
    <x v="5"/>
    <x v="2"/>
    <x v="5"/>
    <n v="6"/>
    <n v="963"/>
    <n v="4902.8500000000004"/>
    <n v="24472"/>
    <x v="1"/>
    <x v="2"/>
    <s v="GEO"/>
    <n v="30"/>
    <n v="199.62"/>
  </r>
  <r>
    <s v="SM-00040"/>
    <s v="Mission_40"/>
    <x v="5"/>
    <x v="5"/>
    <x v="39"/>
    <s v="Kourou"/>
    <x v="0"/>
    <x v="0"/>
    <x v="5"/>
    <n v="7"/>
    <n v="1001"/>
    <n v="2915.75"/>
    <n v="1366"/>
    <x v="2"/>
    <x v="2"/>
    <s v="LEO"/>
    <n v="19"/>
    <n v="238.95"/>
  </r>
  <r>
    <s v="SM-00041"/>
    <s v="Mission_41"/>
    <x v="6"/>
    <x v="3"/>
    <x v="40"/>
    <s v="Baikonur"/>
    <x v="0"/>
    <x v="1"/>
    <x v="1"/>
    <n v="1"/>
    <n v="1151"/>
    <n v="4501.57"/>
    <n v="31441"/>
    <x v="1"/>
    <x v="1"/>
    <s v="GEO"/>
    <n v="15"/>
    <n v="103.96"/>
  </r>
  <r>
    <s v="SM-00042"/>
    <s v="Mission_42"/>
    <x v="6"/>
    <x v="0"/>
    <x v="41"/>
    <s v="Tanegashima"/>
    <x v="0"/>
    <x v="0"/>
    <x v="5"/>
    <n v="7"/>
    <n v="763"/>
    <n v="1605.01"/>
    <n v="46293"/>
    <x v="0"/>
    <x v="2"/>
    <s v="LEO"/>
    <n v="15"/>
    <n v="227.77"/>
  </r>
  <r>
    <s v="SM-00043"/>
    <s v="Mission_43"/>
    <x v="3"/>
    <x v="5"/>
    <x v="42"/>
    <s v="Sriharikota"/>
    <x v="4"/>
    <x v="5"/>
    <x v="5"/>
    <n v="6"/>
    <n v="916"/>
    <n v="2546.5300000000002"/>
    <n v="7624"/>
    <x v="0"/>
    <x v="1"/>
    <s v="GEO"/>
    <n v="34"/>
    <n v="40.46"/>
  </r>
  <r>
    <s v="SM-00044"/>
    <s v="Mission_44"/>
    <x v="0"/>
    <x v="1"/>
    <x v="43"/>
    <s v="Jiuquan"/>
    <x v="4"/>
    <x v="3"/>
    <x v="5"/>
    <n v="7"/>
    <n v="1013"/>
    <n v="3030.64"/>
    <n v="32330"/>
    <x v="2"/>
    <x v="0"/>
    <s v="MEO"/>
    <n v="14"/>
    <n v="148.93"/>
  </r>
  <r>
    <s v="SM-00045"/>
    <s v="Mission_45"/>
    <x v="5"/>
    <x v="5"/>
    <x v="44"/>
    <s v="Kennedy"/>
    <x v="4"/>
    <x v="5"/>
    <x v="5"/>
    <n v="3"/>
    <n v="1230"/>
    <n v="1230.42"/>
    <n v="29791"/>
    <x v="0"/>
    <x v="0"/>
    <s v="Transfer Orbit"/>
    <n v="20"/>
    <n v="167.71"/>
  </r>
  <r>
    <s v="SM-00046"/>
    <s v="Mission_46"/>
    <x v="5"/>
    <x v="2"/>
    <x v="45"/>
    <s v="Tanegashima"/>
    <x v="2"/>
    <x v="2"/>
    <x v="3"/>
    <n v="2"/>
    <n v="835"/>
    <n v="1713.91"/>
    <n v="35396"/>
    <x v="1"/>
    <x v="3"/>
    <s v="Transfer Orbit"/>
    <n v="9"/>
    <n v="39.39"/>
  </r>
  <r>
    <s v="SM-00047"/>
    <s v="Mission_47"/>
    <x v="3"/>
    <x v="1"/>
    <x v="46"/>
    <s v="Baikonur"/>
    <x v="1"/>
    <x v="3"/>
    <x v="3"/>
    <n v="7"/>
    <n v="938"/>
    <n v="3042.83"/>
    <n v="5215"/>
    <x v="1"/>
    <x v="3"/>
    <s v="MEO"/>
    <n v="36"/>
    <n v="231.98"/>
  </r>
  <r>
    <s v="SM-00048"/>
    <s v="Mission_48"/>
    <x v="2"/>
    <x v="1"/>
    <x v="47"/>
    <s v="Kennedy"/>
    <x v="0"/>
    <x v="3"/>
    <x v="4"/>
    <n v="6"/>
    <n v="528"/>
    <n v="2697.13"/>
    <n v="20542"/>
    <x v="2"/>
    <x v="3"/>
    <s v="Polar"/>
    <n v="48"/>
    <n v="218.24"/>
  </r>
  <r>
    <s v="SM-00049"/>
    <s v="Mission_49"/>
    <x v="2"/>
    <x v="2"/>
    <x v="48"/>
    <s v="Jiuquan"/>
    <x v="4"/>
    <x v="3"/>
    <x v="0"/>
    <n v="2"/>
    <n v="207"/>
    <n v="4121.3599999999997"/>
    <n v="11370"/>
    <x v="1"/>
    <x v="3"/>
    <s v="Sun-Synchronous"/>
    <n v="15"/>
    <n v="20.51"/>
  </r>
  <r>
    <s v="SM-00050"/>
    <s v="Mission_50"/>
    <x v="0"/>
    <x v="2"/>
    <x v="49"/>
    <s v="Kennedy"/>
    <x v="2"/>
    <x v="5"/>
    <x v="4"/>
    <n v="8"/>
    <n v="761"/>
    <n v="153.28"/>
    <n v="35084"/>
    <x v="1"/>
    <x v="1"/>
    <s v="GEO"/>
    <n v="15"/>
    <n v="209.73"/>
  </r>
  <r>
    <s v="SM-00051"/>
    <s v="Mission_51"/>
    <x v="6"/>
    <x v="4"/>
    <x v="50"/>
    <s v="Tanegashima"/>
    <x v="4"/>
    <x v="0"/>
    <x v="3"/>
    <n v="4"/>
    <n v="911"/>
    <n v="322.36"/>
    <n v="29344"/>
    <x v="2"/>
    <x v="1"/>
    <s v="MEO"/>
    <n v="29"/>
    <n v="20.71"/>
  </r>
  <r>
    <s v="SM-00052"/>
    <s v="Mission_52"/>
    <x v="4"/>
    <x v="5"/>
    <x v="51"/>
    <s v="Jiuquan"/>
    <x v="2"/>
    <x v="3"/>
    <x v="3"/>
    <n v="8"/>
    <n v="1333"/>
    <n v="168.76"/>
    <n v="45366"/>
    <x v="0"/>
    <x v="1"/>
    <s v="Sun-Synchronous"/>
    <n v="49"/>
    <n v="73.349999999999994"/>
  </r>
  <r>
    <s v="SM-00053"/>
    <s v="Mission_53"/>
    <x v="5"/>
    <x v="5"/>
    <x v="52"/>
    <s v="Jiuquan"/>
    <x v="3"/>
    <x v="1"/>
    <x v="0"/>
    <n v="7"/>
    <n v="1139"/>
    <n v="3103.56"/>
    <n v="3971"/>
    <x v="1"/>
    <x v="1"/>
    <s v="Transfer Orbit"/>
    <n v="24"/>
    <n v="74.53"/>
  </r>
  <r>
    <s v="SM-00054"/>
    <s v="Mission_54"/>
    <x v="4"/>
    <x v="3"/>
    <x v="53"/>
    <s v="Sriharikota"/>
    <x v="0"/>
    <x v="3"/>
    <x v="4"/>
    <n v="8"/>
    <n v="962"/>
    <n v="2668.62"/>
    <n v="31108"/>
    <x v="1"/>
    <x v="3"/>
    <s v="GEO"/>
    <n v="37"/>
    <n v="211.79"/>
  </r>
  <r>
    <s v="SM-00055"/>
    <s v="Mission_55"/>
    <x v="4"/>
    <x v="2"/>
    <x v="54"/>
    <s v="Jiuquan"/>
    <x v="3"/>
    <x v="2"/>
    <x v="5"/>
    <n v="7"/>
    <n v="29"/>
    <n v="3842.9"/>
    <n v="9223"/>
    <x v="0"/>
    <x v="3"/>
    <s v="GEO"/>
    <n v="2"/>
    <n v="181.63"/>
  </r>
  <r>
    <s v="SM-00056"/>
    <s v="Mission_56"/>
    <x v="2"/>
    <x v="1"/>
    <x v="55"/>
    <s v="Sriharikota"/>
    <x v="3"/>
    <x v="5"/>
    <x v="1"/>
    <n v="3"/>
    <n v="346"/>
    <n v="4914.3"/>
    <n v="49393"/>
    <x v="2"/>
    <x v="1"/>
    <s v="LEO"/>
    <n v="2"/>
    <n v="131.85"/>
  </r>
  <r>
    <s v="SM-00057"/>
    <s v="Mission_57"/>
    <x v="4"/>
    <x v="5"/>
    <x v="56"/>
    <s v="Tanegashima"/>
    <x v="4"/>
    <x v="4"/>
    <x v="4"/>
    <n v="8"/>
    <n v="1346"/>
    <n v="1920.91"/>
    <n v="1578"/>
    <x v="1"/>
    <x v="3"/>
    <s v="MEO"/>
    <n v="23"/>
    <n v="121.71"/>
  </r>
  <r>
    <s v="SM-00058"/>
    <s v="Mission_58"/>
    <x v="5"/>
    <x v="4"/>
    <x v="57"/>
    <s v="Kennedy"/>
    <x v="0"/>
    <x v="3"/>
    <x v="3"/>
    <n v="6"/>
    <n v="672"/>
    <n v="2997.74"/>
    <n v="39927"/>
    <x v="0"/>
    <x v="3"/>
    <s v="Polar"/>
    <n v="28"/>
    <n v="83.41"/>
  </r>
  <r>
    <s v="SM-00059"/>
    <s v="Mission_59"/>
    <x v="3"/>
    <x v="5"/>
    <x v="58"/>
    <s v="Kennedy"/>
    <x v="5"/>
    <x v="4"/>
    <x v="2"/>
    <n v="1"/>
    <n v="135"/>
    <n v="1525.92"/>
    <n v="9481"/>
    <x v="1"/>
    <x v="2"/>
    <s v="Sun-Synchronous"/>
    <n v="8"/>
    <n v="51.59"/>
  </r>
  <r>
    <s v="SM-00060"/>
    <s v="Mission_60"/>
    <x v="0"/>
    <x v="4"/>
    <x v="59"/>
    <s v="Kourou"/>
    <x v="5"/>
    <x v="1"/>
    <x v="1"/>
    <n v="7"/>
    <n v="912"/>
    <n v="1122.92"/>
    <n v="41172"/>
    <x v="1"/>
    <x v="0"/>
    <s v="Transfer Orbit"/>
    <n v="31"/>
    <n v="150.44"/>
  </r>
  <r>
    <s v="SM-00061"/>
    <s v="Mission_61"/>
    <x v="0"/>
    <x v="1"/>
    <x v="60"/>
    <s v="Sriharikota"/>
    <x v="4"/>
    <x v="2"/>
    <x v="5"/>
    <n v="6"/>
    <n v="85"/>
    <n v="1115.1099999999999"/>
    <n v="45412"/>
    <x v="0"/>
    <x v="1"/>
    <s v="LEO"/>
    <n v="15"/>
    <n v="175.81"/>
  </r>
  <r>
    <s v="SM-00062"/>
    <s v="Mission_62"/>
    <x v="5"/>
    <x v="5"/>
    <x v="61"/>
    <s v="Baikonur"/>
    <x v="4"/>
    <x v="5"/>
    <x v="0"/>
    <n v="1"/>
    <n v="153"/>
    <n v="3149.69"/>
    <n v="37340"/>
    <x v="2"/>
    <x v="3"/>
    <s v="Sun-Synchronous"/>
    <n v="13"/>
    <n v="154.93"/>
  </r>
  <r>
    <s v="SM-00063"/>
    <s v="Mission_63"/>
    <x v="0"/>
    <x v="1"/>
    <x v="62"/>
    <s v="Kennedy"/>
    <x v="2"/>
    <x v="1"/>
    <x v="5"/>
    <n v="6"/>
    <n v="1482"/>
    <n v="208.53"/>
    <n v="41174"/>
    <x v="1"/>
    <x v="0"/>
    <s v="GEO"/>
    <n v="43"/>
    <n v="28.82"/>
  </r>
  <r>
    <s v="SM-00064"/>
    <s v="Mission_64"/>
    <x v="1"/>
    <x v="0"/>
    <x v="63"/>
    <s v="Sriharikota"/>
    <x v="4"/>
    <x v="4"/>
    <x v="4"/>
    <n v="8"/>
    <n v="1253"/>
    <n v="4807.96"/>
    <n v="25241"/>
    <x v="2"/>
    <x v="2"/>
    <s v="Sun-Synchronous"/>
    <n v="38"/>
    <n v="106.41"/>
  </r>
  <r>
    <s v="SM-00065"/>
    <s v="Mission_65"/>
    <x v="1"/>
    <x v="1"/>
    <x v="64"/>
    <s v="Sriharikota"/>
    <x v="0"/>
    <x v="4"/>
    <x v="0"/>
    <n v="4"/>
    <n v="681"/>
    <n v="2571.7800000000002"/>
    <n v="23595"/>
    <x v="2"/>
    <x v="1"/>
    <s v="Sun-Synchronous"/>
    <n v="20"/>
    <n v="151.09"/>
  </r>
  <r>
    <s v="SM-00066"/>
    <s v="Mission_66"/>
    <x v="1"/>
    <x v="2"/>
    <x v="65"/>
    <s v="Tanegashima"/>
    <x v="5"/>
    <x v="0"/>
    <x v="2"/>
    <n v="2"/>
    <n v="1061"/>
    <n v="4105.18"/>
    <n v="22280"/>
    <x v="1"/>
    <x v="0"/>
    <s v="Sun-Synchronous"/>
    <n v="27"/>
    <n v="172.03"/>
  </r>
  <r>
    <s v="SM-00067"/>
    <s v="Mission_67"/>
    <x v="0"/>
    <x v="3"/>
    <x v="66"/>
    <s v="Kennedy"/>
    <x v="2"/>
    <x v="1"/>
    <x v="0"/>
    <n v="3"/>
    <n v="323"/>
    <n v="3757.99"/>
    <n v="1659"/>
    <x v="0"/>
    <x v="2"/>
    <s v="LEO"/>
    <n v="40"/>
    <n v="118.18"/>
  </r>
  <r>
    <s v="SM-00068"/>
    <s v="Mission_68"/>
    <x v="5"/>
    <x v="2"/>
    <x v="67"/>
    <s v="Sriharikota"/>
    <x v="1"/>
    <x v="4"/>
    <x v="4"/>
    <n v="5"/>
    <n v="1330"/>
    <n v="3095.78"/>
    <n v="46153"/>
    <x v="1"/>
    <x v="2"/>
    <s v="LEO"/>
    <n v="49"/>
    <n v="51.57"/>
  </r>
  <r>
    <s v="SM-00069"/>
    <s v="Mission_69"/>
    <x v="0"/>
    <x v="5"/>
    <x v="68"/>
    <s v="Baikonur"/>
    <x v="4"/>
    <x v="4"/>
    <x v="1"/>
    <n v="3"/>
    <n v="848"/>
    <n v="4979.6099999999997"/>
    <n v="7536"/>
    <x v="2"/>
    <x v="1"/>
    <s v="Transfer Orbit"/>
    <n v="32"/>
    <n v="162.59"/>
  </r>
  <r>
    <s v="SM-00070"/>
    <s v="Mission_70"/>
    <x v="0"/>
    <x v="1"/>
    <x v="69"/>
    <s v="Jiuquan"/>
    <x v="2"/>
    <x v="2"/>
    <x v="0"/>
    <n v="1"/>
    <n v="176"/>
    <n v="2878.3"/>
    <n v="6787"/>
    <x v="1"/>
    <x v="0"/>
    <s v="GEO"/>
    <n v="44"/>
    <n v="208.49"/>
  </r>
  <r>
    <s v="SM-00071"/>
    <s v="Mission_71"/>
    <x v="1"/>
    <x v="2"/>
    <x v="70"/>
    <s v="Tanegashima"/>
    <x v="4"/>
    <x v="3"/>
    <x v="2"/>
    <n v="8"/>
    <n v="8"/>
    <n v="157.94"/>
    <n v="31432"/>
    <x v="1"/>
    <x v="3"/>
    <s v="Sun-Synchronous"/>
    <n v="37"/>
    <n v="80.84"/>
  </r>
  <r>
    <s v="SM-00072"/>
    <s v="Mission_72"/>
    <x v="0"/>
    <x v="0"/>
    <x v="71"/>
    <s v="Kourou"/>
    <x v="5"/>
    <x v="2"/>
    <x v="1"/>
    <n v="2"/>
    <n v="986"/>
    <n v="4033.16"/>
    <n v="31768"/>
    <x v="0"/>
    <x v="2"/>
    <s v="Sun-Synchronous"/>
    <n v="43"/>
    <n v="247.48"/>
  </r>
  <r>
    <s v="SM-00073"/>
    <s v="Mission_73"/>
    <x v="1"/>
    <x v="5"/>
    <x v="72"/>
    <s v="Jiuquan"/>
    <x v="1"/>
    <x v="2"/>
    <x v="3"/>
    <n v="2"/>
    <n v="691"/>
    <n v="964.05"/>
    <n v="42609"/>
    <x v="0"/>
    <x v="0"/>
    <s v="MEO"/>
    <n v="36"/>
    <n v="237.33"/>
  </r>
  <r>
    <s v="SM-00074"/>
    <s v="Mission_74"/>
    <x v="3"/>
    <x v="5"/>
    <x v="73"/>
    <s v="Kourou"/>
    <x v="2"/>
    <x v="1"/>
    <x v="5"/>
    <n v="0"/>
    <n v="840"/>
    <n v="4657.32"/>
    <n v="12119"/>
    <x v="2"/>
    <x v="1"/>
    <s v="Polar"/>
    <n v="30"/>
    <n v="57.65"/>
  </r>
  <r>
    <s v="SM-00075"/>
    <s v="Mission_75"/>
    <x v="3"/>
    <x v="4"/>
    <x v="74"/>
    <s v="Sriharikota"/>
    <x v="3"/>
    <x v="0"/>
    <x v="3"/>
    <n v="7"/>
    <n v="629"/>
    <n v="2245.7600000000002"/>
    <n v="3028"/>
    <x v="0"/>
    <x v="2"/>
    <s v="GEO"/>
    <n v="32"/>
    <n v="135.58000000000001"/>
  </r>
  <r>
    <s v="SM-00076"/>
    <s v="Mission_76"/>
    <x v="5"/>
    <x v="2"/>
    <x v="75"/>
    <s v="Baikonur"/>
    <x v="5"/>
    <x v="5"/>
    <x v="4"/>
    <n v="1"/>
    <n v="948"/>
    <n v="609.36"/>
    <n v="40813"/>
    <x v="0"/>
    <x v="0"/>
    <s v="Transfer Orbit"/>
    <n v="28"/>
    <n v="197.86"/>
  </r>
  <r>
    <s v="SM-00077"/>
    <s v="Mission_77"/>
    <x v="5"/>
    <x v="1"/>
    <x v="76"/>
    <s v="Baikonur"/>
    <x v="2"/>
    <x v="4"/>
    <x v="3"/>
    <n v="4"/>
    <n v="1007"/>
    <n v="4909.08"/>
    <n v="9140"/>
    <x v="1"/>
    <x v="0"/>
    <s v="Transfer Orbit"/>
    <n v="32"/>
    <n v="193.87"/>
  </r>
  <r>
    <s v="SM-00078"/>
    <s v="Mission_78"/>
    <x v="5"/>
    <x v="4"/>
    <x v="73"/>
    <s v="Baikonur"/>
    <x v="3"/>
    <x v="2"/>
    <x v="4"/>
    <n v="7"/>
    <n v="11"/>
    <n v="925.23"/>
    <n v="29408"/>
    <x v="1"/>
    <x v="0"/>
    <s v="LEO"/>
    <n v="10"/>
    <n v="61.68"/>
  </r>
  <r>
    <s v="SM-00079"/>
    <s v="Mission_79"/>
    <x v="5"/>
    <x v="2"/>
    <x v="77"/>
    <s v="Tanegashima"/>
    <x v="3"/>
    <x v="4"/>
    <x v="0"/>
    <n v="2"/>
    <n v="1207"/>
    <n v="1285.6600000000001"/>
    <n v="30829"/>
    <x v="2"/>
    <x v="3"/>
    <s v="Transfer Orbit"/>
    <n v="20"/>
    <n v="182.76"/>
  </r>
  <r>
    <s v="SM-00080"/>
    <s v="Mission_80"/>
    <x v="0"/>
    <x v="1"/>
    <x v="78"/>
    <s v="Sriharikota"/>
    <x v="1"/>
    <x v="2"/>
    <x v="3"/>
    <n v="6"/>
    <n v="1297"/>
    <n v="3493.86"/>
    <n v="39223"/>
    <x v="1"/>
    <x v="2"/>
    <s v="LEO"/>
    <n v="9"/>
    <n v="139.37"/>
  </r>
  <r>
    <s v="SM-00081"/>
    <s v="Mission_81"/>
    <x v="3"/>
    <x v="1"/>
    <x v="79"/>
    <s v="Tanegashima"/>
    <x v="2"/>
    <x v="1"/>
    <x v="0"/>
    <n v="5"/>
    <n v="573"/>
    <n v="1843.45"/>
    <n v="27881"/>
    <x v="1"/>
    <x v="2"/>
    <s v="Transfer Orbit"/>
    <n v="43"/>
    <n v="154.37"/>
  </r>
  <r>
    <s v="SM-00082"/>
    <s v="Mission_82"/>
    <x v="0"/>
    <x v="0"/>
    <x v="40"/>
    <s v="Sriharikota"/>
    <x v="2"/>
    <x v="0"/>
    <x v="2"/>
    <n v="3"/>
    <n v="510"/>
    <n v="2256.5300000000002"/>
    <n v="20088"/>
    <x v="2"/>
    <x v="2"/>
    <s v="Transfer Orbit"/>
    <n v="1"/>
    <n v="8.8000000000000007"/>
  </r>
  <r>
    <s v="SM-00083"/>
    <s v="Mission_83"/>
    <x v="4"/>
    <x v="5"/>
    <x v="80"/>
    <s v="Tanegashima"/>
    <x v="3"/>
    <x v="3"/>
    <x v="1"/>
    <n v="1"/>
    <n v="389"/>
    <n v="3678.43"/>
    <n v="10585"/>
    <x v="0"/>
    <x v="2"/>
    <s v="LEO"/>
    <n v="29"/>
    <n v="15.49"/>
  </r>
  <r>
    <s v="SM-00084"/>
    <s v="Mission_84"/>
    <x v="3"/>
    <x v="4"/>
    <x v="81"/>
    <s v="Tanegashima"/>
    <x v="1"/>
    <x v="0"/>
    <x v="5"/>
    <n v="2"/>
    <n v="1163"/>
    <n v="1405.13"/>
    <n v="22177"/>
    <x v="2"/>
    <x v="1"/>
    <s v="LEO"/>
    <n v="35"/>
    <n v="78.75"/>
  </r>
  <r>
    <s v="SM-00085"/>
    <s v="Mission_85"/>
    <x v="4"/>
    <x v="5"/>
    <x v="82"/>
    <s v="Kourou"/>
    <x v="0"/>
    <x v="0"/>
    <x v="1"/>
    <n v="7"/>
    <n v="1091"/>
    <n v="4926.71"/>
    <n v="21602"/>
    <x v="2"/>
    <x v="2"/>
    <s v="Transfer Orbit"/>
    <n v="16"/>
    <n v="87.77"/>
  </r>
  <r>
    <s v="SM-00086"/>
    <s v="Mission_86"/>
    <x v="2"/>
    <x v="4"/>
    <x v="83"/>
    <s v="Jiuquan"/>
    <x v="2"/>
    <x v="5"/>
    <x v="3"/>
    <n v="0"/>
    <n v="1429"/>
    <n v="296.57"/>
    <n v="22900"/>
    <x v="2"/>
    <x v="0"/>
    <s v="Sun-Synchronous"/>
    <n v="31"/>
    <n v="133.09"/>
  </r>
  <r>
    <s v="SM-00087"/>
    <s v="Mission_87"/>
    <x v="3"/>
    <x v="5"/>
    <x v="84"/>
    <s v="Kourou"/>
    <x v="5"/>
    <x v="3"/>
    <x v="5"/>
    <n v="8"/>
    <n v="803"/>
    <n v="1994.71"/>
    <n v="6410"/>
    <x v="0"/>
    <x v="0"/>
    <s v="MEO"/>
    <n v="27"/>
    <n v="91.58"/>
  </r>
  <r>
    <s v="SM-00088"/>
    <s v="Mission_88"/>
    <x v="6"/>
    <x v="4"/>
    <x v="85"/>
    <s v="Jiuquan"/>
    <x v="3"/>
    <x v="5"/>
    <x v="5"/>
    <n v="4"/>
    <n v="1246"/>
    <n v="115.99"/>
    <n v="23550"/>
    <x v="0"/>
    <x v="3"/>
    <s v="LEO"/>
    <n v="36"/>
    <n v="206.7"/>
  </r>
  <r>
    <s v="SM-00089"/>
    <s v="Mission_89"/>
    <x v="6"/>
    <x v="2"/>
    <x v="86"/>
    <s v="Kennedy"/>
    <x v="2"/>
    <x v="4"/>
    <x v="5"/>
    <n v="6"/>
    <n v="447"/>
    <n v="3584.98"/>
    <n v="25291"/>
    <x v="1"/>
    <x v="0"/>
    <s v="GEO"/>
    <n v="5"/>
    <n v="54.54"/>
  </r>
  <r>
    <s v="SM-00090"/>
    <s v="Mission_90"/>
    <x v="1"/>
    <x v="4"/>
    <x v="87"/>
    <s v="Baikonur"/>
    <x v="4"/>
    <x v="0"/>
    <x v="2"/>
    <n v="2"/>
    <n v="1334"/>
    <n v="353.43"/>
    <n v="42401"/>
    <x v="0"/>
    <x v="0"/>
    <s v="LEO"/>
    <n v="50"/>
    <n v="199.74"/>
  </r>
  <r>
    <s v="SM-00091"/>
    <s v="Mission_91"/>
    <x v="1"/>
    <x v="3"/>
    <x v="88"/>
    <s v="Sriharikota"/>
    <x v="3"/>
    <x v="1"/>
    <x v="0"/>
    <n v="5"/>
    <n v="1358"/>
    <n v="4785.55"/>
    <n v="35488"/>
    <x v="2"/>
    <x v="2"/>
    <s v="LEO"/>
    <n v="16"/>
    <n v="13.49"/>
  </r>
  <r>
    <s v="SM-00092"/>
    <s v="Mission_92"/>
    <x v="0"/>
    <x v="1"/>
    <x v="89"/>
    <s v="Tanegashima"/>
    <x v="2"/>
    <x v="4"/>
    <x v="4"/>
    <n v="1"/>
    <n v="1492"/>
    <n v="3768.48"/>
    <n v="22721"/>
    <x v="1"/>
    <x v="2"/>
    <s v="GEO"/>
    <n v="19"/>
    <n v="169.11"/>
  </r>
  <r>
    <s v="SM-00093"/>
    <s v="Mission_93"/>
    <x v="2"/>
    <x v="5"/>
    <x v="90"/>
    <s v="Kennedy"/>
    <x v="0"/>
    <x v="3"/>
    <x v="3"/>
    <n v="3"/>
    <n v="338"/>
    <n v="1681.74"/>
    <n v="21140"/>
    <x v="0"/>
    <x v="1"/>
    <s v="Transfer Orbit"/>
    <n v="44"/>
    <n v="106.26"/>
  </r>
  <r>
    <s v="SM-00094"/>
    <s v="Mission_94"/>
    <x v="2"/>
    <x v="3"/>
    <x v="91"/>
    <s v="Kourou"/>
    <x v="5"/>
    <x v="0"/>
    <x v="0"/>
    <n v="1"/>
    <n v="938"/>
    <n v="4146.6400000000003"/>
    <n v="12317"/>
    <x v="0"/>
    <x v="2"/>
    <s v="MEO"/>
    <n v="7"/>
    <n v="197.15"/>
  </r>
  <r>
    <s v="SM-00095"/>
    <s v="Mission_95"/>
    <x v="5"/>
    <x v="5"/>
    <x v="75"/>
    <s v="Kennedy"/>
    <x v="5"/>
    <x v="3"/>
    <x v="3"/>
    <n v="7"/>
    <n v="319"/>
    <n v="4638.46"/>
    <n v="41893"/>
    <x v="0"/>
    <x v="2"/>
    <s v="Sun-Synchronous"/>
    <n v="47"/>
    <n v="145.38"/>
  </r>
  <r>
    <s v="SM-00096"/>
    <s v="Mission_96"/>
    <x v="1"/>
    <x v="5"/>
    <x v="92"/>
    <s v="Baikonur"/>
    <x v="4"/>
    <x v="0"/>
    <x v="4"/>
    <n v="7"/>
    <n v="799"/>
    <n v="2262.08"/>
    <n v="30099"/>
    <x v="0"/>
    <x v="1"/>
    <s v="Transfer Orbit"/>
    <n v="30"/>
    <n v="49.59"/>
  </r>
  <r>
    <s v="SM-00097"/>
    <s v="Mission_97"/>
    <x v="6"/>
    <x v="0"/>
    <x v="93"/>
    <s v="Kennedy"/>
    <x v="3"/>
    <x v="3"/>
    <x v="5"/>
    <n v="0"/>
    <n v="941"/>
    <n v="1273.3800000000001"/>
    <n v="13900"/>
    <x v="0"/>
    <x v="3"/>
    <s v="LEO"/>
    <n v="43"/>
    <n v="152.25"/>
  </r>
  <r>
    <s v="SM-00098"/>
    <s v="Mission_98"/>
    <x v="4"/>
    <x v="4"/>
    <x v="94"/>
    <s v="Baikonur"/>
    <x v="1"/>
    <x v="0"/>
    <x v="1"/>
    <n v="5"/>
    <n v="1113"/>
    <n v="3800.5"/>
    <n v="30478"/>
    <x v="1"/>
    <x v="2"/>
    <s v="LEO"/>
    <n v="21"/>
    <n v="198.12"/>
  </r>
  <r>
    <s v="SM-00099"/>
    <s v="Mission_99"/>
    <x v="0"/>
    <x v="5"/>
    <x v="95"/>
    <s v="Kourou"/>
    <x v="3"/>
    <x v="3"/>
    <x v="1"/>
    <n v="2"/>
    <n v="712"/>
    <n v="2786.01"/>
    <n v="45389"/>
    <x v="2"/>
    <x v="1"/>
    <s v="Transfer Orbit"/>
    <n v="28"/>
    <n v="220.17"/>
  </r>
  <r>
    <s v="SM-00100"/>
    <s v="Mission_100"/>
    <x v="4"/>
    <x v="3"/>
    <x v="96"/>
    <s v="Kourou"/>
    <x v="1"/>
    <x v="0"/>
    <x v="4"/>
    <n v="7"/>
    <n v="1013"/>
    <n v="3700.93"/>
    <n v="4332"/>
    <x v="0"/>
    <x v="0"/>
    <s v="LEO"/>
    <n v="20"/>
    <n v="17.23"/>
  </r>
  <r>
    <s v="SM-00101"/>
    <s v="Mission_101"/>
    <x v="0"/>
    <x v="1"/>
    <x v="97"/>
    <s v="Baikonur"/>
    <x v="2"/>
    <x v="1"/>
    <x v="4"/>
    <n v="1"/>
    <n v="882"/>
    <n v="3278.91"/>
    <n v="15883"/>
    <x v="2"/>
    <x v="2"/>
    <s v="Sun-Synchronous"/>
    <n v="30"/>
    <n v="3.24"/>
  </r>
  <r>
    <s v="SM-00102"/>
    <s v="Mission_102"/>
    <x v="5"/>
    <x v="3"/>
    <x v="98"/>
    <s v="Jiuquan"/>
    <x v="3"/>
    <x v="3"/>
    <x v="3"/>
    <n v="3"/>
    <n v="1177"/>
    <n v="877.67"/>
    <n v="23226"/>
    <x v="1"/>
    <x v="2"/>
    <s v="Transfer Orbit"/>
    <n v="24"/>
    <n v="127.31"/>
  </r>
  <r>
    <s v="SM-00103"/>
    <s v="Mission_103"/>
    <x v="3"/>
    <x v="2"/>
    <x v="99"/>
    <s v="Kennedy"/>
    <x v="3"/>
    <x v="4"/>
    <x v="3"/>
    <n v="3"/>
    <n v="330"/>
    <n v="3370.75"/>
    <n v="2551"/>
    <x v="0"/>
    <x v="0"/>
    <s v="MEO"/>
    <n v="9"/>
    <n v="69.510000000000005"/>
  </r>
  <r>
    <s v="SM-00104"/>
    <s v="Mission_104"/>
    <x v="2"/>
    <x v="3"/>
    <x v="100"/>
    <s v="Kourou"/>
    <x v="1"/>
    <x v="1"/>
    <x v="2"/>
    <n v="1"/>
    <n v="511"/>
    <n v="307.97000000000003"/>
    <n v="46836"/>
    <x v="0"/>
    <x v="1"/>
    <s v="GEO"/>
    <n v="5"/>
    <n v="186.36"/>
  </r>
  <r>
    <s v="SM-00105"/>
    <s v="Mission_105"/>
    <x v="0"/>
    <x v="2"/>
    <x v="101"/>
    <s v="Jiuquan"/>
    <x v="0"/>
    <x v="2"/>
    <x v="4"/>
    <n v="6"/>
    <n v="342"/>
    <n v="374.95"/>
    <n v="7736"/>
    <x v="0"/>
    <x v="0"/>
    <s v="GEO"/>
    <n v="36"/>
    <n v="120.74"/>
  </r>
  <r>
    <s v="SM-00106"/>
    <s v="Mission_106"/>
    <x v="1"/>
    <x v="4"/>
    <x v="102"/>
    <s v="Jiuquan"/>
    <x v="3"/>
    <x v="0"/>
    <x v="2"/>
    <n v="5"/>
    <n v="36"/>
    <n v="2598.2600000000002"/>
    <n v="3527"/>
    <x v="2"/>
    <x v="1"/>
    <s v="MEO"/>
    <n v="6"/>
    <n v="25.61"/>
  </r>
  <r>
    <s v="SM-00107"/>
    <s v="Mission_107"/>
    <x v="6"/>
    <x v="4"/>
    <x v="103"/>
    <s v="Tanegashima"/>
    <x v="5"/>
    <x v="4"/>
    <x v="1"/>
    <n v="8"/>
    <n v="740"/>
    <n v="1378.78"/>
    <n v="23549"/>
    <x v="1"/>
    <x v="0"/>
    <s v="Transfer Orbit"/>
    <n v="35"/>
    <n v="12.58"/>
  </r>
  <r>
    <s v="SM-00108"/>
    <s v="Mission_108"/>
    <x v="5"/>
    <x v="1"/>
    <x v="104"/>
    <s v="Tanegashima"/>
    <x v="2"/>
    <x v="4"/>
    <x v="0"/>
    <n v="8"/>
    <n v="951"/>
    <n v="1789.26"/>
    <n v="5680"/>
    <x v="2"/>
    <x v="1"/>
    <s v="LEO"/>
    <n v="8"/>
    <n v="238.31"/>
  </r>
  <r>
    <s v="SM-00109"/>
    <s v="Mission_109"/>
    <x v="4"/>
    <x v="1"/>
    <x v="35"/>
    <s v="Baikonur"/>
    <x v="1"/>
    <x v="4"/>
    <x v="4"/>
    <n v="0"/>
    <n v="371"/>
    <n v="1759.14"/>
    <n v="16852"/>
    <x v="0"/>
    <x v="1"/>
    <s v="GEO"/>
    <n v="18"/>
    <n v="240.61"/>
  </r>
  <r>
    <s v="SM-00110"/>
    <s v="Mission_110"/>
    <x v="0"/>
    <x v="1"/>
    <x v="105"/>
    <s v="Baikonur"/>
    <x v="5"/>
    <x v="2"/>
    <x v="0"/>
    <n v="0"/>
    <n v="1412"/>
    <n v="2123.14"/>
    <n v="27304"/>
    <x v="2"/>
    <x v="1"/>
    <s v="Sun-Synchronous"/>
    <n v="31"/>
    <n v="159.76"/>
  </r>
  <r>
    <s v="SM-00111"/>
    <s v="Mission_111"/>
    <x v="5"/>
    <x v="2"/>
    <x v="106"/>
    <s v="Kourou"/>
    <x v="1"/>
    <x v="4"/>
    <x v="2"/>
    <n v="7"/>
    <n v="1205"/>
    <n v="301.61"/>
    <n v="29605"/>
    <x v="1"/>
    <x v="3"/>
    <s v="LEO"/>
    <n v="7"/>
    <n v="159.99"/>
  </r>
  <r>
    <s v="SM-00112"/>
    <s v="Mission_112"/>
    <x v="5"/>
    <x v="4"/>
    <x v="107"/>
    <s v="Baikonur"/>
    <x v="0"/>
    <x v="1"/>
    <x v="5"/>
    <n v="0"/>
    <n v="1063"/>
    <n v="721.1"/>
    <n v="42048"/>
    <x v="0"/>
    <x v="2"/>
    <s v="Polar"/>
    <n v="17"/>
    <n v="95.65"/>
  </r>
  <r>
    <s v="SM-00113"/>
    <s v="Mission_113"/>
    <x v="0"/>
    <x v="4"/>
    <x v="108"/>
    <s v="Baikonur"/>
    <x v="5"/>
    <x v="4"/>
    <x v="0"/>
    <n v="4"/>
    <n v="171"/>
    <n v="4682.4399999999996"/>
    <n v="41863"/>
    <x v="0"/>
    <x v="3"/>
    <s v="LEO"/>
    <n v="45"/>
    <n v="108.69"/>
  </r>
  <r>
    <s v="SM-00114"/>
    <s v="Mission_114"/>
    <x v="3"/>
    <x v="3"/>
    <x v="109"/>
    <s v="Baikonur"/>
    <x v="3"/>
    <x v="1"/>
    <x v="3"/>
    <n v="8"/>
    <n v="885"/>
    <n v="469.61"/>
    <n v="31851"/>
    <x v="0"/>
    <x v="2"/>
    <s v="Sun-Synchronous"/>
    <n v="5"/>
    <n v="245.43"/>
  </r>
  <r>
    <s v="SM-00115"/>
    <s v="Mission_115"/>
    <x v="5"/>
    <x v="1"/>
    <x v="110"/>
    <s v="Sriharikota"/>
    <x v="0"/>
    <x v="3"/>
    <x v="4"/>
    <n v="3"/>
    <n v="1387"/>
    <n v="3156.21"/>
    <n v="19862"/>
    <x v="0"/>
    <x v="0"/>
    <s v="GEO"/>
    <n v="4"/>
    <n v="74.349999999999994"/>
  </r>
  <r>
    <s v="SM-00116"/>
    <s v="Mission_116"/>
    <x v="6"/>
    <x v="2"/>
    <x v="83"/>
    <s v="Baikonur"/>
    <x v="1"/>
    <x v="5"/>
    <x v="0"/>
    <n v="1"/>
    <n v="1266"/>
    <n v="495.83"/>
    <n v="47537"/>
    <x v="0"/>
    <x v="1"/>
    <s v="LEO"/>
    <n v="26"/>
    <n v="69.89"/>
  </r>
  <r>
    <s v="SM-00117"/>
    <s v="Mission_117"/>
    <x v="1"/>
    <x v="1"/>
    <x v="111"/>
    <s v="Jiuquan"/>
    <x v="3"/>
    <x v="4"/>
    <x v="2"/>
    <n v="8"/>
    <n v="1285"/>
    <n v="4271.51"/>
    <n v="12386"/>
    <x v="2"/>
    <x v="0"/>
    <s v="Sun-Synchronous"/>
    <n v="2"/>
    <n v="154.88"/>
  </r>
  <r>
    <s v="SM-00118"/>
    <s v="Mission_118"/>
    <x v="6"/>
    <x v="5"/>
    <x v="112"/>
    <s v="Tanegashima"/>
    <x v="2"/>
    <x v="3"/>
    <x v="4"/>
    <n v="5"/>
    <n v="27"/>
    <n v="4753.93"/>
    <n v="45884"/>
    <x v="2"/>
    <x v="0"/>
    <s v="Sun-Synchronous"/>
    <n v="37"/>
    <n v="210.4"/>
  </r>
  <r>
    <s v="SM-00119"/>
    <s v="Mission_119"/>
    <x v="6"/>
    <x v="0"/>
    <x v="113"/>
    <s v="Sriharikota"/>
    <x v="2"/>
    <x v="4"/>
    <x v="0"/>
    <n v="4"/>
    <n v="100"/>
    <n v="944.63"/>
    <n v="1122"/>
    <x v="1"/>
    <x v="0"/>
    <s v="Polar"/>
    <n v="7"/>
    <n v="106.83"/>
  </r>
  <r>
    <s v="SM-00120"/>
    <s v="Mission_120"/>
    <x v="5"/>
    <x v="2"/>
    <x v="114"/>
    <s v="Tanegashima"/>
    <x v="0"/>
    <x v="3"/>
    <x v="2"/>
    <n v="7"/>
    <n v="699"/>
    <n v="1522.71"/>
    <n v="12714"/>
    <x v="0"/>
    <x v="0"/>
    <s v="Sun-Synchronous"/>
    <n v="10"/>
    <n v="46.22"/>
  </r>
  <r>
    <s v="SM-00121"/>
    <s v="Mission_121"/>
    <x v="0"/>
    <x v="2"/>
    <x v="32"/>
    <s v="Jiuquan"/>
    <x v="1"/>
    <x v="2"/>
    <x v="5"/>
    <n v="1"/>
    <n v="392"/>
    <n v="1134.01"/>
    <n v="24507"/>
    <x v="1"/>
    <x v="1"/>
    <s v="Polar"/>
    <n v="26"/>
    <n v="50.33"/>
  </r>
  <r>
    <s v="SM-00122"/>
    <s v="Mission_122"/>
    <x v="0"/>
    <x v="3"/>
    <x v="115"/>
    <s v="Jiuquan"/>
    <x v="2"/>
    <x v="1"/>
    <x v="3"/>
    <n v="5"/>
    <n v="1157"/>
    <n v="4154.1099999999997"/>
    <n v="30914"/>
    <x v="2"/>
    <x v="2"/>
    <s v="LEO"/>
    <n v="38"/>
    <n v="176.5"/>
  </r>
  <r>
    <s v="SM-00123"/>
    <s v="Mission_123"/>
    <x v="5"/>
    <x v="5"/>
    <x v="116"/>
    <s v="Baikonur"/>
    <x v="5"/>
    <x v="0"/>
    <x v="5"/>
    <n v="2"/>
    <n v="167"/>
    <n v="2049.6"/>
    <n v="34815"/>
    <x v="2"/>
    <x v="3"/>
    <s v="Polar"/>
    <n v="43"/>
    <n v="163.99"/>
  </r>
  <r>
    <s v="SM-00124"/>
    <s v="Mission_124"/>
    <x v="3"/>
    <x v="3"/>
    <x v="117"/>
    <s v="Kennedy"/>
    <x v="2"/>
    <x v="2"/>
    <x v="2"/>
    <n v="3"/>
    <n v="178"/>
    <n v="148.96"/>
    <n v="7233"/>
    <x v="1"/>
    <x v="1"/>
    <s v="Polar"/>
    <n v="17"/>
    <n v="217.06"/>
  </r>
  <r>
    <s v="SM-00125"/>
    <s v="Mission_125"/>
    <x v="3"/>
    <x v="5"/>
    <x v="118"/>
    <s v="Baikonur"/>
    <x v="2"/>
    <x v="4"/>
    <x v="3"/>
    <n v="4"/>
    <n v="1155"/>
    <n v="2552.75"/>
    <n v="27154"/>
    <x v="2"/>
    <x v="0"/>
    <s v="Sun-Synchronous"/>
    <n v="7"/>
    <n v="137.78"/>
  </r>
  <r>
    <s v="SM-00126"/>
    <s v="Mission_126"/>
    <x v="5"/>
    <x v="3"/>
    <x v="119"/>
    <s v="Sriharikota"/>
    <x v="5"/>
    <x v="2"/>
    <x v="1"/>
    <n v="1"/>
    <n v="1248"/>
    <n v="2566.39"/>
    <n v="10179"/>
    <x v="2"/>
    <x v="3"/>
    <s v="GEO"/>
    <n v="28"/>
    <n v="163.32"/>
  </r>
  <r>
    <s v="SM-00127"/>
    <s v="Mission_127"/>
    <x v="2"/>
    <x v="1"/>
    <x v="5"/>
    <s v="Sriharikota"/>
    <x v="5"/>
    <x v="3"/>
    <x v="2"/>
    <n v="6"/>
    <n v="8"/>
    <n v="2550.38"/>
    <n v="19421"/>
    <x v="0"/>
    <x v="3"/>
    <s v="LEO"/>
    <n v="30"/>
    <n v="242.41"/>
  </r>
  <r>
    <s v="SM-00128"/>
    <s v="Mission_128"/>
    <x v="5"/>
    <x v="5"/>
    <x v="120"/>
    <s v="Sriharikota"/>
    <x v="5"/>
    <x v="2"/>
    <x v="2"/>
    <n v="3"/>
    <n v="193"/>
    <n v="393.63"/>
    <n v="38230"/>
    <x v="1"/>
    <x v="3"/>
    <s v="MEO"/>
    <n v="39"/>
    <n v="124.01"/>
  </r>
  <r>
    <s v="SM-00129"/>
    <s v="Mission_129"/>
    <x v="5"/>
    <x v="4"/>
    <x v="121"/>
    <s v="Sriharikota"/>
    <x v="1"/>
    <x v="4"/>
    <x v="4"/>
    <n v="3"/>
    <n v="326"/>
    <n v="4910.79"/>
    <n v="39474"/>
    <x v="2"/>
    <x v="3"/>
    <s v="LEO"/>
    <n v="47"/>
    <n v="112.27"/>
  </r>
  <r>
    <s v="SM-00130"/>
    <s v="Mission_130"/>
    <x v="5"/>
    <x v="3"/>
    <x v="122"/>
    <s v="Kourou"/>
    <x v="2"/>
    <x v="2"/>
    <x v="0"/>
    <n v="5"/>
    <n v="646"/>
    <n v="4811.74"/>
    <n v="18443"/>
    <x v="2"/>
    <x v="1"/>
    <s v="MEO"/>
    <n v="2"/>
    <n v="196.96"/>
  </r>
  <r>
    <s v="SM-00131"/>
    <s v="Mission_131"/>
    <x v="4"/>
    <x v="3"/>
    <x v="123"/>
    <s v="Jiuquan"/>
    <x v="2"/>
    <x v="0"/>
    <x v="2"/>
    <n v="1"/>
    <n v="683"/>
    <n v="971.16"/>
    <n v="20336"/>
    <x v="2"/>
    <x v="0"/>
    <s v="LEO"/>
    <n v="13"/>
    <n v="94.31"/>
  </r>
  <r>
    <s v="SM-00132"/>
    <s v="Mission_132"/>
    <x v="5"/>
    <x v="4"/>
    <x v="124"/>
    <s v="Baikonur"/>
    <x v="5"/>
    <x v="5"/>
    <x v="5"/>
    <n v="4"/>
    <n v="843"/>
    <n v="1585.61"/>
    <n v="35579"/>
    <x v="2"/>
    <x v="2"/>
    <s v="GEO"/>
    <n v="21"/>
    <n v="130.97999999999999"/>
  </r>
  <r>
    <s v="SM-00133"/>
    <s v="Mission_133"/>
    <x v="0"/>
    <x v="0"/>
    <x v="125"/>
    <s v="Kennedy"/>
    <x v="2"/>
    <x v="3"/>
    <x v="1"/>
    <n v="4"/>
    <n v="1072"/>
    <n v="3782.14"/>
    <n v="40181"/>
    <x v="2"/>
    <x v="2"/>
    <s v="GEO"/>
    <n v="41"/>
    <n v="82.71"/>
  </r>
  <r>
    <s v="SM-00134"/>
    <s v="Mission_134"/>
    <x v="6"/>
    <x v="3"/>
    <x v="126"/>
    <s v="Baikonur"/>
    <x v="2"/>
    <x v="2"/>
    <x v="0"/>
    <n v="5"/>
    <n v="689"/>
    <n v="2920.17"/>
    <n v="26815"/>
    <x v="2"/>
    <x v="0"/>
    <s v="LEO"/>
    <n v="20"/>
    <n v="63.71"/>
  </r>
  <r>
    <s v="SM-00135"/>
    <s v="Mission_135"/>
    <x v="0"/>
    <x v="2"/>
    <x v="127"/>
    <s v="Sriharikota"/>
    <x v="5"/>
    <x v="4"/>
    <x v="5"/>
    <n v="0"/>
    <n v="189"/>
    <n v="2266.19"/>
    <n v="18120"/>
    <x v="2"/>
    <x v="0"/>
    <s v="LEO"/>
    <n v="48"/>
    <n v="241.37"/>
  </r>
  <r>
    <s v="SM-00136"/>
    <s v="Mission_136"/>
    <x v="4"/>
    <x v="1"/>
    <x v="128"/>
    <s v="Kennedy"/>
    <x v="3"/>
    <x v="5"/>
    <x v="3"/>
    <n v="4"/>
    <n v="513"/>
    <n v="3755.57"/>
    <n v="11169"/>
    <x v="2"/>
    <x v="0"/>
    <s v="MEO"/>
    <n v="34"/>
    <n v="97.93"/>
  </r>
  <r>
    <s v="SM-00137"/>
    <s v="Mission_137"/>
    <x v="5"/>
    <x v="2"/>
    <x v="129"/>
    <s v="Kennedy"/>
    <x v="2"/>
    <x v="0"/>
    <x v="3"/>
    <n v="4"/>
    <n v="676"/>
    <n v="4115.21"/>
    <n v="33689"/>
    <x v="0"/>
    <x v="1"/>
    <s v="LEO"/>
    <n v="18"/>
    <n v="61.14"/>
  </r>
  <r>
    <s v="SM-00138"/>
    <s v="Mission_138"/>
    <x v="6"/>
    <x v="2"/>
    <x v="130"/>
    <s v="Kourou"/>
    <x v="3"/>
    <x v="2"/>
    <x v="0"/>
    <n v="6"/>
    <n v="483"/>
    <n v="4842.49"/>
    <n v="27486"/>
    <x v="0"/>
    <x v="3"/>
    <s v="Polar"/>
    <n v="45"/>
    <n v="218.01"/>
  </r>
  <r>
    <s v="SM-00139"/>
    <s v="Mission_139"/>
    <x v="2"/>
    <x v="5"/>
    <x v="83"/>
    <s v="Baikonur"/>
    <x v="1"/>
    <x v="2"/>
    <x v="2"/>
    <n v="7"/>
    <n v="42"/>
    <n v="4319.5600000000004"/>
    <n v="47271"/>
    <x v="1"/>
    <x v="0"/>
    <s v="Polar"/>
    <n v="34"/>
    <n v="154.21"/>
  </r>
  <r>
    <s v="SM-00140"/>
    <s v="Mission_140"/>
    <x v="1"/>
    <x v="4"/>
    <x v="131"/>
    <s v="Tanegashima"/>
    <x v="4"/>
    <x v="1"/>
    <x v="0"/>
    <n v="8"/>
    <n v="326"/>
    <n v="2725.96"/>
    <n v="9086"/>
    <x v="2"/>
    <x v="3"/>
    <s v="LEO"/>
    <n v="12"/>
    <n v="42.99"/>
  </r>
  <r>
    <s v="SM-00141"/>
    <s v="Mission_141"/>
    <x v="1"/>
    <x v="5"/>
    <x v="132"/>
    <s v="Kennedy"/>
    <x v="4"/>
    <x v="1"/>
    <x v="3"/>
    <n v="0"/>
    <n v="1142"/>
    <n v="2765.18"/>
    <n v="48247"/>
    <x v="2"/>
    <x v="2"/>
    <s v="GEO"/>
    <n v="47"/>
    <n v="108.63"/>
  </r>
  <r>
    <s v="SM-00142"/>
    <s v="Mission_142"/>
    <x v="1"/>
    <x v="3"/>
    <x v="133"/>
    <s v="Jiuquan"/>
    <x v="0"/>
    <x v="0"/>
    <x v="2"/>
    <n v="0"/>
    <n v="917"/>
    <n v="3141.44"/>
    <n v="27298"/>
    <x v="1"/>
    <x v="2"/>
    <s v="MEO"/>
    <n v="29"/>
    <n v="63.45"/>
  </r>
  <r>
    <s v="SM-00143"/>
    <s v="Mission_143"/>
    <x v="0"/>
    <x v="5"/>
    <x v="134"/>
    <s v="Kennedy"/>
    <x v="3"/>
    <x v="5"/>
    <x v="1"/>
    <n v="5"/>
    <n v="401"/>
    <n v="3460.76"/>
    <n v="12793"/>
    <x v="2"/>
    <x v="3"/>
    <s v="Polar"/>
    <n v="6"/>
    <n v="34.5"/>
  </r>
  <r>
    <s v="SM-00144"/>
    <s v="Mission_144"/>
    <x v="6"/>
    <x v="5"/>
    <x v="135"/>
    <s v="Sriharikota"/>
    <x v="3"/>
    <x v="1"/>
    <x v="4"/>
    <n v="3"/>
    <n v="988"/>
    <n v="2796.96"/>
    <n v="48079"/>
    <x v="2"/>
    <x v="3"/>
    <s v="LEO"/>
    <n v="5"/>
    <n v="97.96"/>
  </r>
  <r>
    <s v="SM-00145"/>
    <s v="Mission_145"/>
    <x v="2"/>
    <x v="4"/>
    <x v="136"/>
    <s v="Kourou"/>
    <x v="1"/>
    <x v="3"/>
    <x v="4"/>
    <n v="7"/>
    <n v="683"/>
    <n v="2800.11"/>
    <n v="39557"/>
    <x v="2"/>
    <x v="0"/>
    <s v="Transfer Orbit"/>
    <n v="9"/>
    <n v="165.24"/>
  </r>
  <r>
    <s v="SM-00146"/>
    <s v="Mission_146"/>
    <x v="3"/>
    <x v="3"/>
    <x v="137"/>
    <s v="Kourou"/>
    <x v="5"/>
    <x v="1"/>
    <x v="4"/>
    <n v="3"/>
    <n v="588"/>
    <n v="957.99"/>
    <n v="38649"/>
    <x v="2"/>
    <x v="0"/>
    <s v="Polar"/>
    <n v="24"/>
    <n v="244.72"/>
  </r>
  <r>
    <s v="SM-00147"/>
    <s v="Mission_147"/>
    <x v="0"/>
    <x v="3"/>
    <x v="138"/>
    <s v="Kennedy"/>
    <x v="4"/>
    <x v="3"/>
    <x v="1"/>
    <n v="3"/>
    <n v="499"/>
    <n v="4823.82"/>
    <n v="16753"/>
    <x v="0"/>
    <x v="3"/>
    <s v="Transfer Orbit"/>
    <n v="29"/>
    <n v="3.56"/>
  </r>
  <r>
    <s v="SM-00148"/>
    <s v="Mission_148"/>
    <x v="6"/>
    <x v="4"/>
    <x v="139"/>
    <s v="Tanegashima"/>
    <x v="5"/>
    <x v="0"/>
    <x v="1"/>
    <n v="0"/>
    <n v="1120"/>
    <n v="543.77"/>
    <n v="18408"/>
    <x v="0"/>
    <x v="2"/>
    <s v="LEO"/>
    <n v="23"/>
    <n v="180.91"/>
  </r>
  <r>
    <s v="SM-00149"/>
    <s v="Mission_149"/>
    <x v="6"/>
    <x v="5"/>
    <x v="140"/>
    <s v="Kourou"/>
    <x v="2"/>
    <x v="1"/>
    <x v="5"/>
    <n v="0"/>
    <n v="610"/>
    <n v="1401.26"/>
    <n v="41598"/>
    <x v="0"/>
    <x v="3"/>
    <s v="Sun-Synchronous"/>
    <n v="17"/>
    <n v="213.98"/>
  </r>
  <r>
    <s v="SM-00150"/>
    <s v="Mission_150"/>
    <x v="1"/>
    <x v="3"/>
    <x v="141"/>
    <s v="Kennedy"/>
    <x v="3"/>
    <x v="1"/>
    <x v="0"/>
    <n v="6"/>
    <n v="501"/>
    <n v="4212.4799999999996"/>
    <n v="18301"/>
    <x v="2"/>
    <x v="0"/>
    <s v="GEO"/>
    <n v="32"/>
    <n v="40.22"/>
  </r>
  <r>
    <s v="SM-00151"/>
    <s v="Mission_151"/>
    <x v="3"/>
    <x v="0"/>
    <x v="142"/>
    <s v="Jiuquan"/>
    <x v="3"/>
    <x v="2"/>
    <x v="2"/>
    <n v="7"/>
    <n v="568"/>
    <n v="4285.25"/>
    <n v="12627"/>
    <x v="1"/>
    <x v="0"/>
    <s v="Transfer Orbit"/>
    <n v="8"/>
    <n v="228.85"/>
  </r>
  <r>
    <s v="SM-00152"/>
    <s v="Mission_152"/>
    <x v="4"/>
    <x v="3"/>
    <x v="143"/>
    <s v="Jiuquan"/>
    <x v="1"/>
    <x v="0"/>
    <x v="0"/>
    <n v="5"/>
    <n v="706"/>
    <n v="2180.85"/>
    <n v="41010"/>
    <x v="0"/>
    <x v="2"/>
    <s v="Transfer Orbit"/>
    <n v="32"/>
    <n v="25.11"/>
  </r>
  <r>
    <s v="SM-00153"/>
    <s v="Mission_153"/>
    <x v="5"/>
    <x v="1"/>
    <x v="144"/>
    <s v="Jiuquan"/>
    <x v="0"/>
    <x v="3"/>
    <x v="4"/>
    <n v="6"/>
    <n v="969"/>
    <n v="4564.47"/>
    <n v="20883"/>
    <x v="2"/>
    <x v="1"/>
    <s v="MEO"/>
    <n v="13"/>
    <n v="194.33"/>
  </r>
  <r>
    <s v="SM-00154"/>
    <s v="Mission_154"/>
    <x v="1"/>
    <x v="5"/>
    <x v="145"/>
    <s v="Kourou"/>
    <x v="5"/>
    <x v="2"/>
    <x v="2"/>
    <n v="1"/>
    <n v="1028"/>
    <n v="4514.07"/>
    <n v="33938"/>
    <x v="1"/>
    <x v="3"/>
    <s v="GEO"/>
    <n v="25"/>
    <n v="166.13"/>
  </r>
  <r>
    <s v="SM-00155"/>
    <s v="Mission_155"/>
    <x v="2"/>
    <x v="5"/>
    <x v="146"/>
    <s v="Kennedy"/>
    <x v="3"/>
    <x v="2"/>
    <x v="1"/>
    <n v="1"/>
    <n v="814"/>
    <n v="4185.47"/>
    <n v="4527"/>
    <x v="0"/>
    <x v="2"/>
    <s v="Sun-Synchronous"/>
    <n v="48"/>
    <n v="181.74"/>
  </r>
  <r>
    <s v="SM-00156"/>
    <s v="Mission_156"/>
    <x v="1"/>
    <x v="4"/>
    <x v="147"/>
    <s v="Sriharikota"/>
    <x v="4"/>
    <x v="2"/>
    <x v="0"/>
    <n v="7"/>
    <n v="357"/>
    <n v="4843.6400000000003"/>
    <n v="18152"/>
    <x v="2"/>
    <x v="1"/>
    <s v="GEO"/>
    <n v="25"/>
    <n v="101.59"/>
  </r>
  <r>
    <s v="SM-00157"/>
    <s v="Mission_157"/>
    <x v="4"/>
    <x v="3"/>
    <x v="148"/>
    <s v="Baikonur"/>
    <x v="0"/>
    <x v="1"/>
    <x v="5"/>
    <n v="5"/>
    <n v="1309"/>
    <n v="2160.9699999999998"/>
    <n v="31531"/>
    <x v="2"/>
    <x v="1"/>
    <s v="LEO"/>
    <n v="9"/>
    <n v="242.65"/>
  </r>
  <r>
    <s v="SM-00158"/>
    <s v="Mission_158"/>
    <x v="1"/>
    <x v="0"/>
    <x v="149"/>
    <s v="Kennedy"/>
    <x v="1"/>
    <x v="4"/>
    <x v="0"/>
    <n v="8"/>
    <n v="1258"/>
    <n v="1459.58"/>
    <n v="31173"/>
    <x v="0"/>
    <x v="0"/>
    <s v="GEO"/>
    <n v="3"/>
    <n v="133.51"/>
  </r>
  <r>
    <s v="SM-00159"/>
    <s v="Mission_159"/>
    <x v="3"/>
    <x v="2"/>
    <x v="150"/>
    <s v="Tanegashima"/>
    <x v="3"/>
    <x v="4"/>
    <x v="3"/>
    <n v="3"/>
    <n v="1355"/>
    <n v="2483.6999999999998"/>
    <n v="22631"/>
    <x v="2"/>
    <x v="1"/>
    <s v="Polar"/>
    <n v="37"/>
    <n v="238.96"/>
  </r>
  <r>
    <s v="SM-00160"/>
    <s v="Mission_160"/>
    <x v="1"/>
    <x v="3"/>
    <x v="151"/>
    <s v="Kourou"/>
    <x v="4"/>
    <x v="3"/>
    <x v="5"/>
    <n v="8"/>
    <n v="887"/>
    <n v="2592.37"/>
    <n v="37878"/>
    <x v="0"/>
    <x v="1"/>
    <s v="MEO"/>
    <n v="4"/>
    <n v="120.46"/>
  </r>
  <r>
    <s v="SM-00161"/>
    <s v="Mission_161"/>
    <x v="1"/>
    <x v="0"/>
    <x v="152"/>
    <s v="Tanegashima"/>
    <x v="2"/>
    <x v="0"/>
    <x v="3"/>
    <n v="2"/>
    <n v="1069"/>
    <n v="4504.2700000000004"/>
    <n v="27413"/>
    <x v="1"/>
    <x v="1"/>
    <s v="LEO"/>
    <n v="24"/>
    <n v="179.61"/>
  </r>
  <r>
    <s v="SM-00162"/>
    <s v="Mission_162"/>
    <x v="2"/>
    <x v="1"/>
    <x v="153"/>
    <s v="Sriharikota"/>
    <x v="5"/>
    <x v="4"/>
    <x v="3"/>
    <n v="2"/>
    <n v="1152"/>
    <n v="3878.48"/>
    <n v="11470"/>
    <x v="1"/>
    <x v="0"/>
    <s v="MEO"/>
    <n v="5"/>
    <n v="238.62"/>
  </r>
  <r>
    <s v="SM-00163"/>
    <s v="Mission_163"/>
    <x v="2"/>
    <x v="4"/>
    <x v="154"/>
    <s v="Tanegashima"/>
    <x v="4"/>
    <x v="4"/>
    <x v="2"/>
    <n v="7"/>
    <n v="862"/>
    <n v="4369.53"/>
    <n v="40649"/>
    <x v="2"/>
    <x v="1"/>
    <s v="Polar"/>
    <n v="50"/>
    <n v="78.41"/>
  </r>
  <r>
    <s v="SM-00164"/>
    <s v="Mission_164"/>
    <x v="3"/>
    <x v="1"/>
    <x v="155"/>
    <s v="Kourou"/>
    <x v="3"/>
    <x v="0"/>
    <x v="3"/>
    <n v="4"/>
    <n v="488"/>
    <n v="245.59"/>
    <n v="16111"/>
    <x v="1"/>
    <x v="2"/>
    <s v="Polar"/>
    <n v="33"/>
    <n v="169.77"/>
  </r>
  <r>
    <s v="SM-00165"/>
    <s v="Mission_165"/>
    <x v="5"/>
    <x v="5"/>
    <x v="156"/>
    <s v="Tanegashima"/>
    <x v="3"/>
    <x v="4"/>
    <x v="5"/>
    <n v="4"/>
    <n v="428"/>
    <n v="728.86"/>
    <n v="25189"/>
    <x v="0"/>
    <x v="3"/>
    <s v="MEO"/>
    <n v="38"/>
    <n v="141.02000000000001"/>
  </r>
  <r>
    <s v="SM-00166"/>
    <s v="Mission_166"/>
    <x v="3"/>
    <x v="5"/>
    <x v="157"/>
    <s v="Baikonur"/>
    <x v="4"/>
    <x v="2"/>
    <x v="2"/>
    <n v="2"/>
    <n v="1385"/>
    <n v="3952.24"/>
    <n v="46442"/>
    <x v="2"/>
    <x v="2"/>
    <s v="Transfer Orbit"/>
    <n v="18"/>
    <n v="206.28"/>
  </r>
  <r>
    <s v="SM-00167"/>
    <s v="Mission_167"/>
    <x v="3"/>
    <x v="5"/>
    <x v="158"/>
    <s v="Baikonur"/>
    <x v="2"/>
    <x v="2"/>
    <x v="1"/>
    <n v="4"/>
    <n v="355"/>
    <n v="4598.28"/>
    <n v="32718"/>
    <x v="0"/>
    <x v="2"/>
    <s v="Transfer Orbit"/>
    <n v="45"/>
    <n v="119.15"/>
  </r>
  <r>
    <s v="SM-00168"/>
    <s v="Mission_168"/>
    <x v="6"/>
    <x v="0"/>
    <x v="159"/>
    <s v="Tanegashima"/>
    <x v="0"/>
    <x v="3"/>
    <x v="3"/>
    <n v="7"/>
    <n v="555"/>
    <n v="4226.6000000000004"/>
    <n v="6790"/>
    <x v="1"/>
    <x v="0"/>
    <s v="Sun-Synchronous"/>
    <n v="25"/>
    <n v="167.87"/>
  </r>
  <r>
    <s v="SM-00169"/>
    <s v="Mission_169"/>
    <x v="4"/>
    <x v="3"/>
    <x v="160"/>
    <s v="Tanegashima"/>
    <x v="4"/>
    <x v="0"/>
    <x v="5"/>
    <n v="7"/>
    <n v="202"/>
    <n v="3908.73"/>
    <n v="39527"/>
    <x v="2"/>
    <x v="3"/>
    <s v="Polar"/>
    <n v="4"/>
    <n v="44.35"/>
  </r>
  <r>
    <s v="SM-00170"/>
    <s v="Mission_170"/>
    <x v="4"/>
    <x v="2"/>
    <x v="161"/>
    <s v="Jiuquan"/>
    <x v="4"/>
    <x v="2"/>
    <x v="4"/>
    <n v="2"/>
    <n v="1044"/>
    <n v="970.49"/>
    <n v="42178"/>
    <x v="0"/>
    <x v="0"/>
    <s v="Polar"/>
    <n v="19"/>
    <n v="186.39"/>
  </r>
  <r>
    <s v="SM-00171"/>
    <s v="Mission_171"/>
    <x v="0"/>
    <x v="3"/>
    <x v="162"/>
    <s v="Baikonur"/>
    <x v="0"/>
    <x v="2"/>
    <x v="0"/>
    <n v="3"/>
    <n v="70"/>
    <n v="3429.53"/>
    <n v="42467"/>
    <x v="0"/>
    <x v="2"/>
    <s v="Sun-Synchronous"/>
    <n v="11"/>
    <n v="96.3"/>
  </r>
  <r>
    <s v="SM-00172"/>
    <s v="Mission_172"/>
    <x v="5"/>
    <x v="0"/>
    <x v="163"/>
    <s v="Kennedy"/>
    <x v="1"/>
    <x v="0"/>
    <x v="4"/>
    <n v="6"/>
    <n v="1174"/>
    <n v="4674.6099999999997"/>
    <n v="4875"/>
    <x v="2"/>
    <x v="2"/>
    <s v="Sun-Synchronous"/>
    <n v="48"/>
    <n v="108.28"/>
  </r>
  <r>
    <s v="SM-00173"/>
    <s v="Mission_173"/>
    <x v="5"/>
    <x v="2"/>
    <x v="164"/>
    <s v="Jiuquan"/>
    <x v="1"/>
    <x v="5"/>
    <x v="3"/>
    <n v="2"/>
    <n v="105"/>
    <n v="1172.47"/>
    <n v="7411"/>
    <x v="0"/>
    <x v="1"/>
    <s v="GEO"/>
    <n v="21"/>
    <n v="66.209999999999994"/>
  </r>
  <r>
    <s v="SM-00174"/>
    <s v="Mission_174"/>
    <x v="1"/>
    <x v="4"/>
    <x v="165"/>
    <s v="Baikonur"/>
    <x v="5"/>
    <x v="0"/>
    <x v="5"/>
    <n v="8"/>
    <n v="103"/>
    <n v="366.83"/>
    <n v="6284"/>
    <x v="2"/>
    <x v="1"/>
    <s v="LEO"/>
    <n v="43"/>
    <n v="218.37"/>
  </r>
  <r>
    <s v="SM-00175"/>
    <s v="Mission_175"/>
    <x v="6"/>
    <x v="3"/>
    <x v="166"/>
    <s v="Jiuquan"/>
    <x v="4"/>
    <x v="5"/>
    <x v="4"/>
    <n v="7"/>
    <n v="552"/>
    <n v="872.09"/>
    <n v="15997"/>
    <x v="2"/>
    <x v="2"/>
    <s v="LEO"/>
    <n v="3"/>
    <n v="218.69"/>
  </r>
  <r>
    <s v="SM-00176"/>
    <s v="Mission_176"/>
    <x v="6"/>
    <x v="4"/>
    <x v="167"/>
    <s v="Baikonur"/>
    <x v="5"/>
    <x v="4"/>
    <x v="3"/>
    <n v="4"/>
    <n v="468"/>
    <n v="3988.47"/>
    <n v="14395"/>
    <x v="1"/>
    <x v="3"/>
    <s v="Sun-Synchronous"/>
    <n v="34"/>
    <n v="134.32"/>
  </r>
  <r>
    <s v="SM-00177"/>
    <s v="Mission_177"/>
    <x v="0"/>
    <x v="1"/>
    <x v="168"/>
    <s v="Baikonur"/>
    <x v="4"/>
    <x v="5"/>
    <x v="4"/>
    <n v="4"/>
    <n v="892"/>
    <n v="1339.94"/>
    <n v="45446"/>
    <x v="0"/>
    <x v="0"/>
    <s v="MEO"/>
    <n v="31"/>
    <n v="238.77"/>
  </r>
  <r>
    <s v="SM-00178"/>
    <s v="Mission_178"/>
    <x v="5"/>
    <x v="3"/>
    <x v="169"/>
    <s v="Jiuquan"/>
    <x v="0"/>
    <x v="4"/>
    <x v="0"/>
    <n v="0"/>
    <n v="1159"/>
    <n v="930.94"/>
    <n v="23999"/>
    <x v="2"/>
    <x v="0"/>
    <s v="MEO"/>
    <n v="28"/>
    <n v="124.14"/>
  </r>
  <r>
    <s v="SM-00179"/>
    <s v="Mission_179"/>
    <x v="6"/>
    <x v="1"/>
    <x v="170"/>
    <s v="Sriharikota"/>
    <x v="2"/>
    <x v="1"/>
    <x v="1"/>
    <n v="8"/>
    <n v="58"/>
    <n v="4234.04"/>
    <n v="14668"/>
    <x v="0"/>
    <x v="3"/>
    <s v="GEO"/>
    <n v="12"/>
    <n v="136.54"/>
  </r>
  <r>
    <s v="SM-00180"/>
    <s v="Mission_180"/>
    <x v="6"/>
    <x v="5"/>
    <x v="171"/>
    <s v="Baikonur"/>
    <x v="3"/>
    <x v="3"/>
    <x v="5"/>
    <n v="0"/>
    <n v="119"/>
    <n v="4773.6400000000003"/>
    <n v="49237"/>
    <x v="1"/>
    <x v="1"/>
    <s v="MEO"/>
    <n v="49"/>
    <n v="99.21"/>
  </r>
  <r>
    <s v="SM-00181"/>
    <s v="Mission_181"/>
    <x v="2"/>
    <x v="5"/>
    <x v="172"/>
    <s v="Sriharikota"/>
    <x v="5"/>
    <x v="0"/>
    <x v="5"/>
    <n v="7"/>
    <n v="1383"/>
    <n v="3683.17"/>
    <n v="8433"/>
    <x v="1"/>
    <x v="3"/>
    <s v="Sun-Synchronous"/>
    <n v="50"/>
    <n v="157.99"/>
  </r>
  <r>
    <s v="SM-00182"/>
    <s v="Mission_182"/>
    <x v="2"/>
    <x v="3"/>
    <x v="173"/>
    <s v="Kennedy"/>
    <x v="4"/>
    <x v="3"/>
    <x v="5"/>
    <n v="2"/>
    <n v="805"/>
    <n v="1539.87"/>
    <n v="16595"/>
    <x v="0"/>
    <x v="1"/>
    <s v="MEO"/>
    <n v="19"/>
    <n v="149.72"/>
  </r>
  <r>
    <s v="SM-00183"/>
    <s v="Mission_183"/>
    <x v="5"/>
    <x v="4"/>
    <x v="174"/>
    <s v="Kennedy"/>
    <x v="5"/>
    <x v="1"/>
    <x v="0"/>
    <n v="8"/>
    <n v="391"/>
    <n v="2172"/>
    <n v="10604"/>
    <x v="0"/>
    <x v="2"/>
    <s v="LEO"/>
    <n v="44"/>
    <n v="10.25"/>
  </r>
  <r>
    <s v="SM-00184"/>
    <s v="Mission_184"/>
    <x v="5"/>
    <x v="2"/>
    <x v="175"/>
    <s v="Sriharikota"/>
    <x v="3"/>
    <x v="3"/>
    <x v="1"/>
    <n v="8"/>
    <n v="64"/>
    <n v="656.25"/>
    <n v="46758"/>
    <x v="2"/>
    <x v="3"/>
    <s v="LEO"/>
    <n v="37"/>
    <n v="12.64"/>
  </r>
  <r>
    <s v="SM-00185"/>
    <s v="Mission_185"/>
    <x v="4"/>
    <x v="3"/>
    <x v="176"/>
    <s v="Jiuquan"/>
    <x v="5"/>
    <x v="4"/>
    <x v="3"/>
    <n v="7"/>
    <n v="1269"/>
    <n v="4868.47"/>
    <n v="10421"/>
    <x v="2"/>
    <x v="0"/>
    <s v="LEO"/>
    <n v="42"/>
    <n v="64.42"/>
  </r>
  <r>
    <s v="SM-00186"/>
    <s v="Mission_186"/>
    <x v="4"/>
    <x v="0"/>
    <x v="177"/>
    <s v="Tanegashima"/>
    <x v="1"/>
    <x v="3"/>
    <x v="5"/>
    <n v="5"/>
    <n v="1022"/>
    <n v="311.85000000000002"/>
    <n v="3063"/>
    <x v="0"/>
    <x v="2"/>
    <s v="Transfer Orbit"/>
    <n v="33"/>
    <n v="65.67"/>
  </r>
  <r>
    <s v="SM-00187"/>
    <s v="Mission_187"/>
    <x v="5"/>
    <x v="1"/>
    <x v="178"/>
    <s v="Kennedy"/>
    <x v="2"/>
    <x v="1"/>
    <x v="2"/>
    <n v="7"/>
    <n v="837"/>
    <n v="2887.23"/>
    <n v="29598"/>
    <x v="0"/>
    <x v="0"/>
    <s v="Polar"/>
    <n v="2"/>
    <n v="86.6"/>
  </r>
  <r>
    <s v="SM-00188"/>
    <s v="Mission_188"/>
    <x v="4"/>
    <x v="1"/>
    <x v="179"/>
    <s v="Kennedy"/>
    <x v="4"/>
    <x v="4"/>
    <x v="2"/>
    <n v="7"/>
    <n v="527"/>
    <n v="2660.57"/>
    <n v="28707"/>
    <x v="2"/>
    <x v="2"/>
    <s v="LEO"/>
    <n v="50"/>
    <n v="46.33"/>
  </r>
  <r>
    <s v="SM-00189"/>
    <s v="Mission_189"/>
    <x v="4"/>
    <x v="4"/>
    <x v="180"/>
    <s v="Tanegashima"/>
    <x v="4"/>
    <x v="0"/>
    <x v="0"/>
    <n v="0"/>
    <n v="566"/>
    <n v="876.69"/>
    <n v="2546"/>
    <x v="0"/>
    <x v="0"/>
    <s v="LEO"/>
    <n v="1"/>
    <n v="221.19"/>
  </r>
  <r>
    <s v="SM-00190"/>
    <s v="Mission_190"/>
    <x v="5"/>
    <x v="2"/>
    <x v="181"/>
    <s v="Kennedy"/>
    <x v="4"/>
    <x v="3"/>
    <x v="5"/>
    <n v="5"/>
    <n v="767"/>
    <n v="1526.66"/>
    <n v="1938"/>
    <x v="2"/>
    <x v="2"/>
    <s v="Polar"/>
    <n v="20"/>
    <n v="152.33000000000001"/>
  </r>
  <r>
    <s v="SM-00191"/>
    <s v="Mission_191"/>
    <x v="4"/>
    <x v="1"/>
    <x v="182"/>
    <s v="Baikonur"/>
    <x v="1"/>
    <x v="1"/>
    <x v="2"/>
    <n v="6"/>
    <n v="603"/>
    <n v="3844.17"/>
    <n v="10866"/>
    <x v="0"/>
    <x v="1"/>
    <s v="Sun-Synchronous"/>
    <n v="40"/>
    <n v="137.09"/>
  </r>
  <r>
    <s v="SM-00192"/>
    <s v="Mission_192"/>
    <x v="1"/>
    <x v="3"/>
    <x v="183"/>
    <s v="Tanegashima"/>
    <x v="3"/>
    <x v="1"/>
    <x v="3"/>
    <n v="6"/>
    <n v="243"/>
    <n v="4097.5"/>
    <n v="39092"/>
    <x v="0"/>
    <x v="0"/>
    <s v="GEO"/>
    <n v="10"/>
    <n v="58.62"/>
  </r>
  <r>
    <s v="SM-00193"/>
    <s v="Mission_193"/>
    <x v="5"/>
    <x v="3"/>
    <x v="184"/>
    <s v="Sriharikota"/>
    <x v="5"/>
    <x v="0"/>
    <x v="0"/>
    <n v="5"/>
    <n v="841"/>
    <n v="3152.14"/>
    <n v="18131"/>
    <x v="2"/>
    <x v="0"/>
    <s v="Sun-Synchronous"/>
    <n v="19"/>
    <n v="230.82"/>
  </r>
  <r>
    <s v="SM-00194"/>
    <s v="Mission_194"/>
    <x v="5"/>
    <x v="5"/>
    <x v="185"/>
    <s v="Sriharikota"/>
    <x v="2"/>
    <x v="2"/>
    <x v="4"/>
    <n v="0"/>
    <n v="421"/>
    <n v="2311.3000000000002"/>
    <n v="10845"/>
    <x v="2"/>
    <x v="2"/>
    <s v="GEO"/>
    <n v="4"/>
    <n v="228.7"/>
  </r>
  <r>
    <s v="SM-00195"/>
    <s v="Mission_195"/>
    <x v="3"/>
    <x v="5"/>
    <x v="186"/>
    <s v="Baikonur"/>
    <x v="2"/>
    <x v="2"/>
    <x v="1"/>
    <n v="4"/>
    <n v="826"/>
    <n v="234.4"/>
    <n v="8557"/>
    <x v="2"/>
    <x v="3"/>
    <s v="LEO"/>
    <n v="42"/>
    <n v="208.02"/>
  </r>
  <r>
    <s v="SM-00196"/>
    <s v="Mission_196"/>
    <x v="0"/>
    <x v="2"/>
    <x v="187"/>
    <s v="Kennedy"/>
    <x v="4"/>
    <x v="3"/>
    <x v="5"/>
    <n v="1"/>
    <n v="541"/>
    <n v="3142.07"/>
    <n v="10437"/>
    <x v="0"/>
    <x v="0"/>
    <s v="Polar"/>
    <n v="31"/>
    <n v="186.48"/>
  </r>
  <r>
    <s v="SM-00197"/>
    <s v="Mission_197"/>
    <x v="5"/>
    <x v="4"/>
    <x v="188"/>
    <s v="Kennedy"/>
    <x v="4"/>
    <x v="1"/>
    <x v="0"/>
    <n v="2"/>
    <n v="1150"/>
    <n v="3200.84"/>
    <n v="32234"/>
    <x v="1"/>
    <x v="0"/>
    <s v="Sun-Synchronous"/>
    <n v="12"/>
    <n v="181.13"/>
  </r>
  <r>
    <s v="SM-00198"/>
    <s v="Mission_198"/>
    <x v="5"/>
    <x v="0"/>
    <x v="189"/>
    <s v="Baikonur"/>
    <x v="2"/>
    <x v="5"/>
    <x v="0"/>
    <n v="3"/>
    <n v="1281"/>
    <n v="984.72"/>
    <n v="16968"/>
    <x v="0"/>
    <x v="3"/>
    <s v="Transfer Orbit"/>
    <n v="41"/>
    <n v="25.18"/>
  </r>
  <r>
    <s v="SM-00199"/>
    <s v="Mission_199"/>
    <x v="1"/>
    <x v="0"/>
    <x v="190"/>
    <s v="Baikonur"/>
    <x v="0"/>
    <x v="2"/>
    <x v="4"/>
    <n v="8"/>
    <n v="484"/>
    <n v="3729.71"/>
    <n v="46772"/>
    <x v="0"/>
    <x v="1"/>
    <s v="Sun-Synchronous"/>
    <n v="44"/>
    <n v="33.07"/>
  </r>
  <r>
    <s v="SM-00200"/>
    <s v="Mission_200"/>
    <x v="2"/>
    <x v="2"/>
    <x v="191"/>
    <s v="Kennedy"/>
    <x v="1"/>
    <x v="0"/>
    <x v="3"/>
    <n v="5"/>
    <n v="286"/>
    <n v="1190.56"/>
    <n v="22545"/>
    <x v="0"/>
    <x v="3"/>
    <s v="Transfer Orbit"/>
    <n v="31"/>
    <n v="10.77"/>
  </r>
  <r>
    <s v="SM-00201"/>
    <s v="Mission_201"/>
    <x v="6"/>
    <x v="0"/>
    <x v="192"/>
    <s v="Tanegashima"/>
    <x v="4"/>
    <x v="3"/>
    <x v="5"/>
    <n v="0"/>
    <n v="1112"/>
    <n v="1491.27"/>
    <n v="13942"/>
    <x v="0"/>
    <x v="2"/>
    <s v="Polar"/>
    <n v="24"/>
    <n v="26.48"/>
  </r>
  <r>
    <s v="SM-00202"/>
    <s v="Mission_202"/>
    <x v="5"/>
    <x v="0"/>
    <x v="193"/>
    <s v="Sriharikota"/>
    <x v="0"/>
    <x v="0"/>
    <x v="1"/>
    <n v="5"/>
    <n v="131"/>
    <n v="2241.7399999999998"/>
    <n v="36081"/>
    <x v="1"/>
    <x v="3"/>
    <s v="Sun-Synchronous"/>
    <n v="8"/>
    <n v="148.13999999999999"/>
  </r>
  <r>
    <s v="SM-00203"/>
    <s v="Mission_203"/>
    <x v="0"/>
    <x v="0"/>
    <x v="194"/>
    <s v="Kennedy"/>
    <x v="2"/>
    <x v="1"/>
    <x v="2"/>
    <n v="5"/>
    <n v="400"/>
    <n v="3810.74"/>
    <n v="11393"/>
    <x v="0"/>
    <x v="1"/>
    <s v="LEO"/>
    <n v="20"/>
    <n v="13.19"/>
  </r>
  <r>
    <s v="SM-00204"/>
    <s v="Mission_204"/>
    <x v="5"/>
    <x v="1"/>
    <x v="195"/>
    <s v="Sriharikota"/>
    <x v="5"/>
    <x v="0"/>
    <x v="2"/>
    <n v="5"/>
    <n v="232"/>
    <n v="2572.2600000000002"/>
    <n v="21550"/>
    <x v="2"/>
    <x v="2"/>
    <s v="LEO"/>
    <n v="29"/>
    <n v="171.21"/>
  </r>
  <r>
    <s v="SM-00205"/>
    <s v="Mission_205"/>
    <x v="6"/>
    <x v="2"/>
    <x v="196"/>
    <s v="Kourou"/>
    <x v="4"/>
    <x v="3"/>
    <x v="2"/>
    <n v="1"/>
    <n v="384"/>
    <n v="4840.8900000000003"/>
    <n v="37723"/>
    <x v="0"/>
    <x v="1"/>
    <s v="Sun-Synchronous"/>
    <n v="41"/>
    <n v="10.72"/>
  </r>
  <r>
    <s v="SM-00206"/>
    <s v="Mission_206"/>
    <x v="6"/>
    <x v="0"/>
    <x v="197"/>
    <s v="Jiuquan"/>
    <x v="3"/>
    <x v="2"/>
    <x v="4"/>
    <n v="2"/>
    <n v="138"/>
    <n v="814.85"/>
    <n v="11033"/>
    <x v="0"/>
    <x v="3"/>
    <s v="GEO"/>
    <n v="44"/>
    <n v="6.81"/>
  </r>
  <r>
    <s v="SM-00207"/>
    <s v="Mission_207"/>
    <x v="5"/>
    <x v="5"/>
    <x v="198"/>
    <s v="Tanegashima"/>
    <x v="5"/>
    <x v="4"/>
    <x v="2"/>
    <n v="6"/>
    <n v="595"/>
    <n v="4004.03"/>
    <n v="34710"/>
    <x v="2"/>
    <x v="2"/>
    <s v="Polar"/>
    <n v="41"/>
    <n v="107.49"/>
  </r>
  <r>
    <s v="SM-00208"/>
    <s v="Mission_208"/>
    <x v="4"/>
    <x v="3"/>
    <x v="199"/>
    <s v="Baikonur"/>
    <x v="3"/>
    <x v="4"/>
    <x v="2"/>
    <n v="8"/>
    <n v="554"/>
    <n v="2232.33"/>
    <n v="30377"/>
    <x v="2"/>
    <x v="3"/>
    <s v="GEO"/>
    <n v="22"/>
    <n v="24.68"/>
  </r>
  <r>
    <s v="SM-00209"/>
    <s v="Mission_209"/>
    <x v="6"/>
    <x v="3"/>
    <x v="200"/>
    <s v="Tanegashima"/>
    <x v="0"/>
    <x v="0"/>
    <x v="0"/>
    <n v="5"/>
    <n v="746"/>
    <n v="3109.11"/>
    <n v="48394"/>
    <x v="2"/>
    <x v="3"/>
    <s v="MEO"/>
    <n v="14"/>
    <n v="7.49"/>
  </r>
  <r>
    <s v="SM-00210"/>
    <s v="Mission_210"/>
    <x v="6"/>
    <x v="1"/>
    <x v="201"/>
    <s v="Kourou"/>
    <x v="3"/>
    <x v="0"/>
    <x v="1"/>
    <n v="2"/>
    <n v="525"/>
    <n v="3011.15"/>
    <n v="30836"/>
    <x v="1"/>
    <x v="2"/>
    <s v="LEO"/>
    <n v="36"/>
    <n v="188.3"/>
  </r>
  <r>
    <s v="SM-00211"/>
    <s v="Mission_211"/>
    <x v="2"/>
    <x v="0"/>
    <x v="202"/>
    <s v="Kennedy"/>
    <x v="5"/>
    <x v="5"/>
    <x v="5"/>
    <n v="7"/>
    <n v="1004"/>
    <n v="1226.6500000000001"/>
    <n v="27644"/>
    <x v="1"/>
    <x v="3"/>
    <s v="Sun-Synchronous"/>
    <n v="34"/>
    <n v="240.81"/>
  </r>
  <r>
    <s v="SM-00212"/>
    <s v="Mission_212"/>
    <x v="2"/>
    <x v="2"/>
    <x v="203"/>
    <s v="Tanegashima"/>
    <x v="3"/>
    <x v="1"/>
    <x v="4"/>
    <n v="4"/>
    <n v="889"/>
    <n v="4966.24"/>
    <n v="46216"/>
    <x v="0"/>
    <x v="1"/>
    <s v="GEO"/>
    <n v="12"/>
    <n v="82.05"/>
  </r>
  <r>
    <s v="SM-00213"/>
    <s v="Mission_213"/>
    <x v="1"/>
    <x v="2"/>
    <x v="66"/>
    <s v="Tanegashima"/>
    <x v="4"/>
    <x v="0"/>
    <x v="1"/>
    <n v="3"/>
    <n v="411"/>
    <n v="1428.77"/>
    <n v="46333"/>
    <x v="0"/>
    <x v="2"/>
    <s v="Transfer Orbit"/>
    <n v="15"/>
    <n v="114.07"/>
  </r>
  <r>
    <s v="SM-00214"/>
    <s v="Mission_214"/>
    <x v="3"/>
    <x v="3"/>
    <x v="204"/>
    <s v="Tanegashima"/>
    <x v="0"/>
    <x v="3"/>
    <x v="0"/>
    <n v="4"/>
    <n v="84"/>
    <n v="4634"/>
    <n v="49239"/>
    <x v="2"/>
    <x v="1"/>
    <s v="GEO"/>
    <n v="46"/>
    <n v="60.49"/>
  </r>
  <r>
    <s v="SM-00215"/>
    <s v="Mission_215"/>
    <x v="0"/>
    <x v="5"/>
    <x v="205"/>
    <s v="Sriharikota"/>
    <x v="5"/>
    <x v="0"/>
    <x v="0"/>
    <n v="2"/>
    <n v="681"/>
    <n v="4506.21"/>
    <n v="10275"/>
    <x v="2"/>
    <x v="0"/>
    <s v="Transfer Orbit"/>
    <n v="44"/>
    <n v="202.61"/>
  </r>
  <r>
    <s v="SM-00216"/>
    <s v="Mission_216"/>
    <x v="0"/>
    <x v="0"/>
    <x v="206"/>
    <s v="Sriharikota"/>
    <x v="4"/>
    <x v="5"/>
    <x v="1"/>
    <n v="4"/>
    <n v="1405"/>
    <n v="868.15"/>
    <n v="27916"/>
    <x v="2"/>
    <x v="0"/>
    <s v="Transfer Orbit"/>
    <n v="42"/>
    <n v="119.34"/>
  </r>
  <r>
    <s v="SM-00217"/>
    <s v="Mission_217"/>
    <x v="0"/>
    <x v="1"/>
    <x v="207"/>
    <s v="Kennedy"/>
    <x v="1"/>
    <x v="1"/>
    <x v="3"/>
    <n v="5"/>
    <n v="132"/>
    <n v="4992.51"/>
    <n v="20126"/>
    <x v="2"/>
    <x v="2"/>
    <s v="Polar"/>
    <n v="25"/>
    <n v="110.49"/>
  </r>
  <r>
    <s v="SM-00218"/>
    <s v="Mission_218"/>
    <x v="4"/>
    <x v="4"/>
    <x v="208"/>
    <s v="Baikonur"/>
    <x v="0"/>
    <x v="3"/>
    <x v="4"/>
    <n v="3"/>
    <n v="110"/>
    <n v="3739.26"/>
    <n v="12810"/>
    <x v="1"/>
    <x v="0"/>
    <s v="LEO"/>
    <n v="2"/>
    <n v="160.68"/>
  </r>
  <r>
    <s v="SM-00219"/>
    <s v="Mission_219"/>
    <x v="2"/>
    <x v="0"/>
    <x v="209"/>
    <s v="Kennedy"/>
    <x v="5"/>
    <x v="5"/>
    <x v="4"/>
    <n v="0"/>
    <n v="1095"/>
    <n v="2280.4499999999998"/>
    <n v="39218"/>
    <x v="1"/>
    <x v="2"/>
    <s v="LEO"/>
    <n v="41"/>
    <n v="203.81"/>
  </r>
  <r>
    <s v="SM-00220"/>
    <s v="Mission_220"/>
    <x v="0"/>
    <x v="3"/>
    <x v="210"/>
    <s v="Sriharikota"/>
    <x v="4"/>
    <x v="3"/>
    <x v="4"/>
    <n v="4"/>
    <n v="128"/>
    <n v="1198.31"/>
    <n v="42270"/>
    <x v="1"/>
    <x v="3"/>
    <s v="Polar"/>
    <n v="2"/>
    <n v="200.79"/>
  </r>
  <r>
    <s v="SM-00221"/>
    <s v="Mission_221"/>
    <x v="6"/>
    <x v="3"/>
    <x v="211"/>
    <s v="Jiuquan"/>
    <x v="5"/>
    <x v="5"/>
    <x v="1"/>
    <n v="1"/>
    <n v="827"/>
    <n v="3736.88"/>
    <n v="5700"/>
    <x v="0"/>
    <x v="0"/>
    <s v="GEO"/>
    <n v="39"/>
    <n v="138.28"/>
  </r>
  <r>
    <s v="SM-00222"/>
    <s v="Mission_222"/>
    <x v="5"/>
    <x v="0"/>
    <x v="212"/>
    <s v="Baikonur"/>
    <x v="5"/>
    <x v="4"/>
    <x v="0"/>
    <n v="1"/>
    <n v="805"/>
    <n v="863.32"/>
    <n v="24682"/>
    <x v="2"/>
    <x v="1"/>
    <s v="Polar"/>
    <n v="50"/>
    <n v="183.08"/>
  </r>
  <r>
    <s v="SM-00223"/>
    <s v="Mission_223"/>
    <x v="5"/>
    <x v="5"/>
    <x v="213"/>
    <s v="Tanegashima"/>
    <x v="2"/>
    <x v="5"/>
    <x v="1"/>
    <n v="0"/>
    <n v="1226"/>
    <n v="811.03"/>
    <n v="36055"/>
    <x v="1"/>
    <x v="0"/>
    <s v="Transfer Orbit"/>
    <n v="25"/>
    <n v="147.80000000000001"/>
  </r>
  <r>
    <s v="SM-00224"/>
    <s v="Mission_224"/>
    <x v="3"/>
    <x v="2"/>
    <x v="214"/>
    <s v="Baikonur"/>
    <x v="5"/>
    <x v="0"/>
    <x v="5"/>
    <n v="8"/>
    <n v="463"/>
    <n v="3784.61"/>
    <n v="48787"/>
    <x v="1"/>
    <x v="1"/>
    <s v="Polar"/>
    <n v="1"/>
    <n v="89.02"/>
  </r>
  <r>
    <s v="SM-00225"/>
    <s v="Mission_225"/>
    <x v="6"/>
    <x v="3"/>
    <x v="215"/>
    <s v="Baikonur"/>
    <x v="1"/>
    <x v="2"/>
    <x v="2"/>
    <n v="4"/>
    <n v="548"/>
    <n v="4861.01"/>
    <n v="809"/>
    <x v="0"/>
    <x v="3"/>
    <s v="GEO"/>
    <n v="11"/>
    <n v="89.27"/>
  </r>
  <r>
    <s v="SM-00226"/>
    <s v="Mission_226"/>
    <x v="2"/>
    <x v="0"/>
    <x v="216"/>
    <s v="Sriharikota"/>
    <x v="1"/>
    <x v="2"/>
    <x v="4"/>
    <n v="8"/>
    <n v="442"/>
    <n v="3474.85"/>
    <n v="17524"/>
    <x v="0"/>
    <x v="0"/>
    <s v="Sun-Synchronous"/>
    <n v="31"/>
    <n v="143.16999999999999"/>
  </r>
  <r>
    <s v="SM-00227"/>
    <s v="Mission_227"/>
    <x v="4"/>
    <x v="5"/>
    <x v="217"/>
    <s v="Kourou"/>
    <x v="4"/>
    <x v="4"/>
    <x v="2"/>
    <n v="5"/>
    <n v="1448"/>
    <n v="50.05"/>
    <n v="24227"/>
    <x v="0"/>
    <x v="2"/>
    <s v="MEO"/>
    <n v="38"/>
    <n v="216.62"/>
  </r>
  <r>
    <s v="SM-00228"/>
    <s v="Mission_228"/>
    <x v="6"/>
    <x v="2"/>
    <x v="218"/>
    <s v="Baikonur"/>
    <x v="3"/>
    <x v="5"/>
    <x v="4"/>
    <n v="1"/>
    <n v="1295"/>
    <n v="4941.16"/>
    <n v="8083"/>
    <x v="1"/>
    <x v="3"/>
    <s v="MEO"/>
    <n v="14"/>
    <n v="129.35"/>
  </r>
  <r>
    <s v="SM-00229"/>
    <s v="Mission_229"/>
    <x v="1"/>
    <x v="5"/>
    <x v="219"/>
    <s v="Sriharikota"/>
    <x v="0"/>
    <x v="4"/>
    <x v="0"/>
    <n v="5"/>
    <n v="1342"/>
    <n v="929.1"/>
    <n v="41273"/>
    <x v="1"/>
    <x v="1"/>
    <s v="GEO"/>
    <n v="27"/>
    <n v="192.59"/>
  </r>
  <r>
    <s v="SM-00230"/>
    <s v="Mission_230"/>
    <x v="1"/>
    <x v="2"/>
    <x v="220"/>
    <s v="Tanegashima"/>
    <x v="0"/>
    <x v="5"/>
    <x v="0"/>
    <n v="7"/>
    <n v="1415"/>
    <n v="4758.26"/>
    <n v="14770"/>
    <x v="2"/>
    <x v="0"/>
    <s v="MEO"/>
    <n v="17"/>
    <n v="114.08"/>
  </r>
  <r>
    <s v="SM-00231"/>
    <s v="Mission_231"/>
    <x v="2"/>
    <x v="4"/>
    <x v="221"/>
    <s v="Sriharikota"/>
    <x v="0"/>
    <x v="0"/>
    <x v="4"/>
    <n v="2"/>
    <n v="605"/>
    <n v="1769.11"/>
    <n v="26133"/>
    <x v="0"/>
    <x v="2"/>
    <s v="LEO"/>
    <n v="12"/>
    <n v="141.46"/>
  </r>
  <r>
    <s v="SM-00232"/>
    <s v="Mission_232"/>
    <x v="2"/>
    <x v="5"/>
    <x v="222"/>
    <s v="Sriharikota"/>
    <x v="0"/>
    <x v="2"/>
    <x v="3"/>
    <n v="3"/>
    <n v="932"/>
    <n v="719.78"/>
    <n v="16371"/>
    <x v="2"/>
    <x v="1"/>
    <s v="Polar"/>
    <n v="14"/>
    <n v="160.24"/>
  </r>
  <r>
    <s v="SM-00233"/>
    <s v="Mission_233"/>
    <x v="4"/>
    <x v="5"/>
    <x v="223"/>
    <s v="Jiuquan"/>
    <x v="2"/>
    <x v="4"/>
    <x v="4"/>
    <n v="5"/>
    <n v="613"/>
    <n v="1727.26"/>
    <n v="43645"/>
    <x v="0"/>
    <x v="2"/>
    <s v="LEO"/>
    <n v="27"/>
    <n v="29.75"/>
  </r>
  <r>
    <s v="SM-00234"/>
    <s v="Mission_234"/>
    <x v="1"/>
    <x v="3"/>
    <x v="224"/>
    <s v="Kennedy"/>
    <x v="5"/>
    <x v="1"/>
    <x v="3"/>
    <n v="8"/>
    <n v="498"/>
    <n v="711.96"/>
    <n v="5602"/>
    <x v="0"/>
    <x v="2"/>
    <s v="Sun-Synchronous"/>
    <n v="25"/>
    <n v="118.1"/>
  </r>
  <r>
    <s v="SM-00235"/>
    <s v="Mission_235"/>
    <x v="3"/>
    <x v="4"/>
    <x v="225"/>
    <s v="Baikonur"/>
    <x v="3"/>
    <x v="3"/>
    <x v="3"/>
    <n v="0"/>
    <n v="80"/>
    <n v="3266.68"/>
    <n v="37638"/>
    <x v="0"/>
    <x v="0"/>
    <s v="Transfer Orbit"/>
    <n v="5"/>
    <n v="32.49"/>
  </r>
  <r>
    <s v="SM-00236"/>
    <s v="Mission_236"/>
    <x v="3"/>
    <x v="2"/>
    <x v="226"/>
    <s v="Baikonur"/>
    <x v="5"/>
    <x v="0"/>
    <x v="3"/>
    <n v="4"/>
    <n v="736"/>
    <n v="4610.04"/>
    <n v="49822"/>
    <x v="2"/>
    <x v="2"/>
    <s v="MEO"/>
    <n v="11"/>
    <n v="227.81"/>
  </r>
  <r>
    <s v="SM-00237"/>
    <s v="Mission_237"/>
    <x v="0"/>
    <x v="1"/>
    <x v="227"/>
    <s v="Kourou"/>
    <x v="2"/>
    <x v="0"/>
    <x v="4"/>
    <n v="3"/>
    <n v="937"/>
    <n v="3674.92"/>
    <n v="10015"/>
    <x v="2"/>
    <x v="1"/>
    <s v="Polar"/>
    <n v="31"/>
    <n v="85.75"/>
  </r>
  <r>
    <s v="SM-00238"/>
    <s v="Mission_238"/>
    <x v="6"/>
    <x v="1"/>
    <x v="228"/>
    <s v="Sriharikota"/>
    <x v="5"/>
    <x v="1"/>
    <x v="4"/>
    <n v="0"/>
    <n v="183"/>
    <n v="1671.28"/>
    <n v="6355"/>
    <x v="1"/>
    <x v="2"/>
    <s v="Sun-Synchronous"/>
    <n v="37"/>
    <n v="39.21"/>
  </r>
  <r>
    <s v="SM-00239"/>
    <s v="Mission_239"/>
    <x v="5"/>
    <x v="3"/>
    <x v="229"/>
    <s v="Jiuquan"/>
    <x v="4"/>
    <x v="1"/>
    <x v="0"/>
    <n v="4"/>
    <n v="1418"/>
    <n v="4832.93"/>
    <n v="22912"/>
    <x v="1"/>
    <x v="2"/>
    <s v="GEO"/>
    <n v="37"/>
    <n v="29.8"/>
  </r>
  <r>
    <s v="SM-00240"/>
    <s v="Mission_240"/>
    <x v="4"/>
    <x v="5"/>
    <x v="230"/>
    <s v="Kourou"/>
    <x v="2"/>
    <x v="1"/>
    <x v="3"/>
    <n v="7"/>
    <n v="69"/>
    <n v="3455.58"/>
    <n v="8470"/>
    <x v="1"/>
    <x v="3"/>
    <s v="LEO"/>
    <n v="6"/>
    <n v="75.989999999999995"/>
  </r>
  <r>
    <s v="SM-00241"/>
    <s v="Mission_241"/>
    <x v="0"/>
    <x v="5"/>
    <x v="231"/>
    <s v="Kennedy"/>
    <x v="4"/>
    <x v="4"/>
    <x v="4"/>
    <n v="7"/>
    <n v="65"/>
    <n v="2680.19"/>
    <n v="2115"/>
    <x v="2"/>
    <x v="2"/>
    <s v="MEO"/>
    <n v="25"/>
    <n v="232.66"/>
  </r>
  <r>
    <s v="SM-00242"/>
    <s v="Mission_242"/>
    <x v="2"/>
    <x v="2"/>
    <x v="232"/>
    <s v="Tanegashima"/>
    <x v="5"/>
    <x v="2"/>
    <x v="4"/>
    <n v="2"/>
    <n v="876"/>
    <n v="1870.42"/>
    <n v="9591"/>
    <x v="0"/>
    <x v="0"/>
    <s v="MEO"/>
    <n v="4"/>
    <n v="124.82"/>
  </r>
  <r>
    <s v="SM-00243"/>
    <s v="Mission_243"/>
    <x v="4"/>
    <x v="5"/>
    <x v="233"/>
    <s v="Jiuquan"/>
    <x v="1"/>
    <x v="0"/>
    <x v="3"/>
    <n v="1"/>
    <n v="1376"/>
    <n v="3034.81"/>
    <n v="44627"/>
    <x v="1"/>
    <x v="1"/>
    <s v="LEO"/>
    <n v="42"/>
    <n v="213.25"/>
  </r>
  <r>
    <s v="SM-00244"/>
    <s v="Mission_244"/>
    <x v="3"/>
    <x v="4"/>
    <x v="234"/>
    <s v="Baikonur"/>
    <x v="4"/>
    <x v="2"/>
    <x v="0"/>
    <n v="0"/>
    <n v="121"/>
    <n v="3870.4"/>
    <n v="10373"/>
    <x v="0"/>
    <x v="2"/>
    <s v="MEO"/>
    <n v="43"/>
    <n v="216.16"/>
  </r>
  <r>
    <s v="SM-00245"/>
    <s v="Mission_245"/>
    <x v="1"/>
    <x v="5"/>
    <x v="235"/>
    <s v="Baikonur"/>
    <x v="2"/>
    <x v="3"/>
    <x v="3"/>
    <n v="0"/>
    <n v="644"/>
    <n v="1151.24"/>
    <n v="3538"/>
    <x v="0"/>
    <x v="1"/>
    <s v="Transfer Orbit"/>
    <n v="26"/>
    <n v="187.37"/>
  </r>
  <r>
    <s v="SM-00246"/>
    <s v="Mission_246"/>
    <x v="1"/>
    <x v="0"/>
    <x v="236"/>
    <s v="Baikonur"/>
    <x v="4"/>
    <x v="2"/>
    <x v="3"/>
    <n v="5"/>
    <n v="242"/>
    <n v="4843.2"/>
    <n v="24995"/>
    <x v="0"/>
    <x v="2"/>
    <s v="Transfer Orbit"/>
    <n v="10"/>
    <n v="176.86"/>
  </r>
  <r>
    <s v="SM-00247"/>
    <s v="Mission_247"/>
    <x v="4"/>
    <x v="4"/>
    <x v="219"/>
    <s v="Jiuquan"/>
    <x v="2"/>
    <x v="3"/>
    <x v="3"/>
    <n v="6"/>
    <n v="256"/>
    <n v="3146.23"/>
    <n v="43647"/>
    <x v="1"/>
    <x v="0"/>
    <s v="GEO"/>
    <n v="24"/>
    <n v="201.37"/>
  </r>
  <r>
    <s v="SM-00248"/>
    <s v="Mission_248"/>
    <x v="6"/>
    <x v="5"/>
    <x v="237"/>
    <s v="Baikonur"/>
    <x v="5"/>
    <x v="5"/>
    <x v="3"/>
    <n v="8"/>
    <n v="985"/>
    <n v="232.46"/>
    <n v="46616"/>
    <x v="2"/>
    <x v="2"/>
    <s v="LEO"/>
    <n v="18"/>
    <n v="246.12"/>
  </r>
  <r>
    <s v="SM-00249"/>
    <s v="Mission_249"/>
    <x v="1"/>
    <x v="3"/>
    <x v="238"/>
    <s v="Jiuquan"/>
    <x v="3"/>
    <x v="0"/>
    <x v="1"/>
    <n v="7"/>
    <n v="732"/>
    <n v="2832.96"/>
    <n v="47690"/>
    <x v="2"/>
    <x v="2"/>
    <s v="MEO"/>
    <n v="29"/>
    <n v="39.61"/>
  </r>
  <r>
    <s v="SM-00250"/>
    <s v="Mission_250"/>
    <x v="1"/>
    <x v="4"/>
    <x v="239"/>
    <s v="Jiuquan"/>
    <x v="5"/>
    <x v="1"/>
    <x v="0"/>
    <n v="1"/>
    <n v="278"/>
    <n v="1636.06"/>
    <n v="6924"/>
    <x v="2"/>
    <x v="3"/>
    <s v="LEO"/>
    <n v="19"/>
    <n v="156.63999999999999"/>
  </r>
  <r>
    <s v="SM-00251"/>
    <s v="Mission_251"/>
    <x v="4"/>
    <x v="2"/>
    <x v="240"/>
    <s v="Baikonur"/>
    <x v="0"/>
    <x v="5"/>
    <x v="5"/>
    <n v="4"/>
    <n v="1472"/>
    <n v="3663.24"/>
    <n v="39706"/>
    <x v="2"/>
    <x v="0"/>
    <s v="MEO"/>
    <n v="2"/>
    <n v="84.12"/>
  </r>
  <r>
    <s v="SM-00252"/>
    <s v="Mission_252"/>
    <x v="4"/>
    <x v="4"/>
    <x v="241"/>
    <s v="Jiuquan"/>
    <x v="0"/>
    <x v="5"/>
    <x v="4"/>
    <n v="0"/>
    <n v="340"/>
    <n v="2976.99"/>
    <n v="27328"/>
    <x v="0"/>
    <x v="3"/>
    <s v="GEO"/>
    <n v="17"/>
    <n v="14.55"/>
  </r>
  <r>
    <s v="SM-00253"/>
    <s v="Mission_253"/>
    <x v="5"/>
    <x v="2"/>
    <x v="242"/>
    <s v="Kourou"/>
    <x v="2"/>
    <x v="0"/>
    <x v="0"/>
    <n v="3"/>
    <n v="444"/>
    <n v="364.95"/>
    <n v="4945"/>
    <x v="0"/>
    <x v="0"/>
    <s v="Sun-Synchronous"/>
    <n v="50"/>
    <n v="28.4"/>
  </r>
  <r>
    <s v="SM-00254"/>
    <s v="Mission_254"/>
    <x v="2"/>
    <x v="4"/>
    <x v="243"/>
    <s v="Kennedy"/>
    <x v="4"/>
    <x v="4"/>
    <x v="3"/>
    <n v="0"/>
    <n v="851"/>
    <n v="975.17"/>
    <n v="32882"/>
    <x v="1"/>
    <x v="3"/>
    <s v="LEO"/>
    <n v="45"/>
    <n v="242.52"/>
  </r>
  <r>
    <s v="SM-00255"/>
    <s v="Mission_255"/>
    <x v="6"/>
    <x v="3"/>
    <x v="244"/>
    <s v="Baikonur"/>
    <x v="5"/>
    <x v="2"/>
    <x v="1"/>
    <n v="2"/>
    <n v="113"/>
    <n v="2945.52"/>
    <n v="10625"/>
    <x v="0"/>
    <x v="2"/>
    <s v="MEO"/>
    <n v="42"/>
    <n v="218.64"/>
  </r>
  <r>
    <s v="SM-00256"/>
    <s v="Mission_256"/>
    <x v="5"/>
    <x v="3"/>
    <x v="245"/>
    <s v="Jiuquan"/>
    <x v="2"/>
    <x v="2"/>
    <x v="4"/>
    <n v="8"/>
    <n v="474"/>
    <n v="3920.13"/>
    <n v="5419"/>
    <x v="2"/>
    <x v="0"/>
    <s v="Transfer Orbit"/>
    <n v="32"/>
    <n v="232.28"/>
  </r>
  <r>
    <s v="SM-00257"/>
    <s v="Mission_257"/>
    <x v="2"/>
    <x v="1"/>
    <x v="246"/>
    <s v="Sriharikota"/>
    <x v="5"/>
    <x v="5"/>
    <x v="0"/>
    <n v="3"/>
    <n v="961"/>
    <n v="1341.56"/>
    <n v="23748"/>
    <x v="1"/>
    <x v="0"/>
    <s v="Sun-Synchronous"/>
    <n v="42"/>
    <n v="186.05"/>
  </r>
  <r>
    <s v="SM-00258"/>
    <s v="Mission_258"/>
    <x v="4"/>
    <x v="1"/>
    <x v="247"/>
    <s v="Tanegashima"/>
    <x v="0"/>
    <x v="5"/>
    <x v="1"/>
    <n v="5"/>
    <n v="247"/>
    <n v="2596.9299999999998"/>
    <n v="46218"/>
    <x v="0"/>
    <x v="3"/>
    <s v="GEO"/>
    <n v="19"/>
    <n v="141.77000000000001"/>
  </r>
  <r>
    <s v="SM-00259"/>
    <s v="Mission_259"/>
    <x v="0"/>
    <x v="4"/>
    <x v="248"/>
    <s v="Jiuquan"/>
    <x v="4"/>
    <x v="4"/>
    <x v="2"/>
    <n v="8"/>
    <n v="1346"/>
    <n v="2047.07"/>
    <n v="26009"/>
    <x v="0"/>
    <x v="3"/>
    <s v="Transfer Orbit"/>
    <n v="10"/>
    <n v="169.71"/>
  </r>
  <r>
    <s v="SM-00260"/>
    <s v="Mission_260"/>
    <x v="4"/>
    <x v="5"/>
    <x v="249"/>
    <s v="Sriharikota"/>
    <x v="0"/>
    <x v="2"/>
    <x v="3"/>
    <n v="4"/>
    <n v="1031"/>
    <n v="979.81"/>
    <n v="19984"/>
    <x v="0"/>
    <x v="2"/>
    <s v="MEO"/>
    <n v="5"/>
    <n v="51.62"/>
  </r>
  <r>
    <s v="SM-00261"/>
    <s v="Mission_261"/>
    <x v="4"/>
    <x v="5"/>
    <x v="250"/>
    <s v="Kennedy"/>
    <x v="2"/>
    <x v="3"/>
    <x v="1"/>
    <n v="2"/>
    <n v="812"/>
    <n v="1113.93"/>
    <n v="22719"/>
    <x v="1"/>
    <x v="0"/>
    <s v="Transfer Orbit"/>
    <n v="39"/>
    <n v="137.63"/>
  </r>
  <r>
    <s v="SM-00262"/>
    <s v="Mission_262"/>
    <x v="0"/>
    <x v="3"/>
    <x v="251"/>
    <s v="Kourou"/>
    <x v="3"/>
    <x v="1"/>
    <x v="1"/>
    <n v="6"/>
    <n v="634"/>
    <n v="1641.85"/>
    <n v="32843"/>
    <x v="0"/>
    <x v="3"/>
    <s v="Transfer Orbit"/>
    <n v="39"/>
    <n v="96.97"/>
  </r>
  <r>
    <s v="SM-00263"/>
    <s v="Mission_263"/>
    <x v="0"/>
    <x v="2"/>
    <x v="252"/>
    <s v="Sriharikota"/>
    <x v="2"/>
    <x v="0"/>
    <x v="5"/>
    <n v="4"/>
    <n v="176"/>
    <n v="150.75"/>
    <n v="32392"/>
    <x v="0"/>
    <x v="2"/>
    <s v="Sun-Synchronous"/>
    <n v="19"/>
    <n v="63.62"/>
  </r>
  <r>
    <s v="SM-00264"/>
    <s v="Mission_264"/>
    <x v="4"/>
    <x v="2"/>
    <x v="253"/>
    <s v="Baikonur"/>
    <x v="3"/>
    <x v="4"/>
    <x v="2"/>
    <n v="0"/>
    <n v="754"/>
    <n v="4636.3500000000004"/>
    <n v="33800"/>
    <x v="1"/>
    <x v="0"/>
    <s v="MEO"/>
    <n v="7"/>
    <n v="113.95"/>
  </r>
  <r>
    <s v="SM-00265"/>
    <s v="Mission_265"/>
    <x v="1"/>
    <x v="5"/>
    <x v="254"/>
    <s v="Kourou"/>
    <x v="2"/>
    <x v="5"/>
    <x v="4"/>
    <n v="1"/>
    <n v="1485"/>
    <n v="2202.89"/>
    <n v="38104"/>
    <x v="1"/>
    <x v="1"/>
    <s v="LEO"/>
    <n v="43"/>
    <n v="202.48"/>
  </r>
  <r>
    <s v="SM-00266"/>
    <s v="Mission_266"/>
    <x v="0"/>
    <x v="4"/>
    <x v="255"/>
    <s v="Kourou"/>
    <x v="4"/>
    <x v="0"/>
    <x v="1"/>
    <n v="7"/>
    <n v="159"/>
    <n v="1631.18"/>
    <n v="19762"/>
    <x v="0"/>
    <x v="1"/>
    <s v="Polar"/>
    <n v="31"/>
    <n v="218.86"/>
  </r>
  <r>
    <s v="SM-00267"/>
    <s v="Mission_267"/>
    <x v="2"/>
    <x v="0"/>
    <x v="256"/>
    <s v="Sriharikota"/>
    <x v="4"/>
    <x v="0"/>
    <x v="0"/>
    <n v="2"/>
    <n v="226"/>
    <n v="4714.74"/>
    <n v="28601"/>
    <x v="2"/>
    <x v="2"/>
    <s v="LEO"/>
    <n v="24"/>
    <n v="101.94"/>
  </r>
  <r>
    <s v="SM-00268"/>
    <s v="Mission_268"/>
    <x v="5"/>
    <x v="2"/>
    <x v="233"/>
    <s v="Sriharikota"/>
    <x v="1"/>
    <x v="4"/>
    <x v="5"/>
    <n v="1"/>
    <n v="389"/>
    <n v="4038.14"/>
    <n v="34499"/>
    <x v="1"/>
    <x v="2"/>
    <s v="MEO"/>
    <n v="9"/>
    <n v="87.1"/>
  </r>
  <r>
    <s v="SM-00269"/>
    <s v="Mission_269"/>
    <x v="5"/>
    <x v="1"/>
    <x v="257"/>
    <s v="Sriharikota"/>
    <x v="5"/>
    <x v="3"/>
    <x v="1"/>
    <n v="0"/>
    <n v="106"/>
    <n v="2708.6"/>
    <n v="18083"/>
    <x v="0"/>
    <x v="2"/>
    <s v="LEO"/>
    <n v="8"/>
    <n v="171.45"/>
  </r>
  <r>
    <s v="SM-00270"/>
    <s v="Mission_270"/>
    <x v="0"/>
    <x v="1"/>
    <x v="258"/>
    <s v="Sriharikota"/>
    <x v="2"/>
    <x v="3"/>
    <x v="1"/>
    <n v="1"/>
    <n v="1062"/>
    <n v="1550.87"/>
    <n v="133"/>
    <x v="0"/>
    <x v="1"/>
    <s v="Transfer Orbit"/>
    <n v="39"/>
    <n v="110.23"/>
  </r>
  <r>
    <s v="SM-00271"/>
    <s v="Mission_271"/>
    <x v="2"/>
    <x v="1"/>
    <x v="259"/>
    <s v="Tanegashima"/>
    <x v="5"/>
    <x v="2"/>
    <x v="0"/>
    <n v="1"/>
    <n v="1301"/>
    <n v="1915.97"/>
    <n v="22964"/>
    <x v="2"/>
    <x v="0"/>
    <s v="Polar"/>
    <n v="26"/>
    <n v="121.52"/>
  </r>
  <r>
    <s v="SM-00272"/>
    <s v="Mission_272"/>
    <x v="2"/>
    <x v="0"/>
    <x v="54"/>
    <s v="Kourou"/>
    <x v="4"/>
    <x v="0"/>
    <x v="4"/>
    <n v="8"/>
    <n v="654"/>
    <n v="2980.89"/>
    <n v="46887"/>
    <x v="0"/>
    <x v="0"/>
    <s v="Polar"/>
    <n v="35"/>
    <n v="128.94999999999999"/>
  </r>
  <r>
    <s v="SM-00273"/>
    <s v="Mission_273"/>
    <x v="3"/>
    <x v="3"/>
    <x v="260"/>
    <s v="Baikonur"/>
    <x v="4"/>
    <x v="4"/>
    <x v="1"/>
    <n v="8"/>
    <n v="391"/>
    <n v="2509.9899999999998"/>
    <n v="18457"/>
    <x v="2"/>
    <x v="3"/>
    <s v="Polar"/>
    <n v="19"/>
    <n v="213.51"/>
  </r>
  <r>
    <s v="SM-00274"/>
    <s v="Mission_274"/>
    <x v="3"/>
    <x v="3"/>
    <x v="261"/>
    <s v="Kourou"/>
    <x v="3"/>
    <x v="3"/>
    <x v="5"/>
    <n v="5"/>
    <n v="1431"/>
    <n v="4254.41"/>
    <n v="1143"/>
    <x v="0"/>
    <x v="1"/>
    <s v="MEO"/>
    <n v="37"/>
    <n v="137.46"/>
  </r>
  <r>
    <s v="SM-00275"/>
    <s v="Mission_275"/>
    <x v="0"/>
    <x v="2"/>
    <x v="262"/>
    <s v="Baikonur"/>
    <x v="1"/>
    <x v="1"/>
    <x v="4"/>
    <n v="5"/>
    <n v="1113"/>
    <n v="3502.05"/>
    <n v="41898"/>
    <x v="0"/>
    <x v="0"/>
    <s v="Polar"/>
    <n v="11"/>
    <n v="111.96"/>
  </r>
  <r>
    <s v="SM-00276"/>
    <s v="Mission_276"/>
    <x v="0"/>
    <x v="4"/>
    <x v="263"/>
    <s v="Sriharikota"/>
    <x v="1"/>
    <x v="5"/>
    <x v="2"/>
    <n v="3"/>
    <n v="697"/>
    <n v="865.8"/>
    <n v="11409"/>
    <x v="1"/>
    <x v="3"/>
    <s v="LEO"/>
    <n v="28"/>
    <n v="179.68"/>
  </r>
  <r>
    <s v="SM-00277"/>
    <s v="Mission_277"/>
    <x v="0"/>
    <x v="3"/>
    <x v="264"/>
    <s v="Jiuquan"/>
    <x v="4"/>
    <x v="5"/>
    <x v="2"/>
    <n v="8"/>
    <n v="997"/>
    <n v="4784.53"/>
    <n v="18176"/>
    <x v="0"/>
    <x v="2"/>
    <s v="Transfer Orbit"/>
    <n v="15"/>
    <n v="232.06"/>
  </r>
  <r>
    <s v="SM-00278"/>
    <s v="Mission_278"/>
    <x v="2"/>
    <x v="5"/>
    <x v="265"/>
    <s v="Kennedy"/>
    <x v="2"/>
    <x v="1"/>
    <x v="1"/>
    <n v="1"/>
    <n v="1396"/>
    <n v="1872.9"/>
    <n v="37948"/>
    <x v="0"/>
    <x v="1"/>
    <s v="MEO"/>
    <n v="4"/>
    <n v="210.31"/>
  </r>
  <r>
    <s v="SM-00279"/>
    <s v="Mission_279"/>
    <x v="4"/>
    <x v="0"/>
    <x v="266"/>
    <s v="Jiuquan"/>
    <x v="0"/>
    <x v="2"/>
    <x v="2"/>
    <n v="4"/>
    <n v="1117"/>
    <n v="475.04"/>
    <n v="42235"/>
    <x v="1"/>
    <x v="1"/>
    <s v="LEO"/>
    <n v="32"/>
    <n v="203.6"/>
  </r>
  <r>
    <s v="SM-00280"/>
    <s v="Mission_280"/>
    <x v="4"/>
    <x v="4"/>
    <x v="267"/>
    <s v="Kourou"/>
    <x v="3"/>
    <x v="1"/>
    <x v="2"/>
    <n v="6"/>
    <n v="1049"/>
    <n v="4307.4399999999996"/>
    <n v="44783"/>
    <x v="1"/>
    <x v="0"/>
    <s v="MEO"/>
    <n v="44"/>
    <n v="32.24"/>
  </r>
  <r>
    <s v="SM-00281"/>
    <s v="Mission_281"/>
    <x v="0"/>
    <x v="2"/>
    <x v="268"/>
    <s v="Tanegashima"/>
    <x v="4"/>
    <x v="3"/>
    <x v="2"/>
    <n v="2"/>
    <n v="774"/>
    <n v="1444.2"/>
    <n v="48288"/>
    <x v="2"/>
    <x v="1"/>
    <s v="MEO"/>
    <n v="27"/>
    <n v="11.86"/>
  </r>
  <r>
    <s v="SM-00282"/>
    <s v="Mission_282"/>
    <x v="1"/>
    <x v="5"/>
    <x v="269"/>
    <s v="Sriharikota"/>
    <x v="0"/>
    <x v="4"/>
    <x v="5"/>
    <n v="3"/>
    <n v="305"/>
    <n v="628.54999999999995"/>
    <n v="32967"/>
    <x v="1"/>
    <x v="0"/>
    <s v="MEO"/>
    <n v="37"/>
    <n v="100.42"/>
  </r>
  <r>
    <s v="SM-00283"/>
    <s v="Mission_283"/>
    <x v="1"/>
    <x v="4"/>
    <x v="33"/>
    <s v="Kennedy"/>
    <x v="3"/>
    <x v="2"/>
    <x v="2"/>
    <n v="2"/>
    <n v="1159"/>
    <n v="2695.82"/>
    <n v="21259"/>
    <x v="0"/>
    <x v="1"/>
    <s v="LEO"/>
    <n v="29"/>
    <n v="248.78"/>
  </r>
  <r>
    <s v="SM-00284"/>
    <s v="Mission_284"/>
    <x v="5"/>
    <x v="1"/>
    <x v="270"/>
    <s v="Kourou"/>
    <x v="0"/>
    <x v="4"/>
    <x v="3"/>
    <n v="4"/>
    <n v="657"/>
    <n v="744.09"/>
    <n v="49818"/>
    <x v="1"/>
    <x v="2"/>
    <s v="MEO"/>
    <n v="14"/>
    <n v="71.97"/>
  </r>
  <r>
    <s v="SM-00285"/>
    <s v="Mission_285"/>
    <x v="6"/>
    <x v="1"/>
    <x v="271"/>
    <s v="Jiuquan"/>
    <x v="0"/>
    <x v="3"/>
    <x v="5"/>
    <n v="4"/>
    <n v="1359"/>
    <n v="364.15"/>
    <n v="1652"/>
    <x v="2"/>
    <x v="1"/>
    <s v="GEO"/>
    <n v="14"/>
    <n v="144.27000000000001"/>
  </r>
  <r>
    <s v="SM-00286"/>
    <s v="Mission_286"/>
    <x v="6"/>
    <x v="1"/>
    <x v="272"/>
    <s v="Jiuquan"/>
    <x v="2"/>
    <x v="4"/>
    <x v="0"/>
    <n v="0"/>
    <n v="204"/>
    <n v="709.77"/>
    <n v="15198"/>
    <x v="0"/>
    <x v="1"/>
    <s v="LEO"/>
    <n v="18"/>
    <n v="158.54"/>
  </r>
  <r>
    <s v="SM-00287"/>
    <s v="Mission_287"/>
    <x v="5"/>
    <x v="2"/>
    <x v="273"/>
    <s v="Kennedy"/>
    <x v="1"/>
    <x v="3"/>
    <x v="5"/>
    <n v="3"/>
    <n v="1159"/>
    <n v="4523.63"/>
    <n v="22379"/>
    <x v="2"/>
    <x v="1"/>
    <s v="Transfer Orbit"/>
    <n v="50"/>
    <n v="116.98"/>
  </r>
  <r>
    <s v="SM-00288"/>
    <s v="Mission_288"/>
    <x v="6"/>
    <x v="3"/>
    <x v="274"/>
    <s v="Kourou"/>
    <x v="3"/>
    <x v="5"/>
    <x v="0"/>
    <n v="8"/>
    <n v="287"/>
    <n v="812.33"/>
    <n v="13941"/>
    <x v="0"/>
    <x v="1"/>
    <s v="Sun-Synchronous"/>
    <n v="28"/>
    <n v="24.69"/>
  </r>
  <r>
    <s v="SM-00289"/>
    <s v="Mission_289"/>
    <x v="1"/>
    <x v="0"/>
    <x v="275"/>
    <s v="Tanegashima"/>
    <x v="2"/>
    <x v="5"/>
    <x v="1"/>
    <n v="3"/>
    <n v="1443"/>
    <n v="3620.81"/>
    <n v="7191"/>
    <x v="1"/>
    <x v="3"/>
    <s v="GEO"/>
    <n v="14"/>
    <n v="75.680000000000007"/>
  </r>
  <r>
    <s v="SM-00290"/>
    <s v="Mission_290"/>
    <x v="1"/>
    <x v="5"/>
    <x v="276"/>
    <s v="Jiuquan"/>
    <x v="5"/>
    <x v="0"/>
    <x v="4"/>
    <n v="5"/>
    <n v="381"/>
    <n v="4014.74"/>
    <n v="29274"/>
    <x v="0"/>
    <x v="0"/>
    <s v="Transfer Orbit"/>
    <n v="19"/>
    <n v="73.11"/>
  </r>
  <r>
    <s v="SM-00291"/>
    <s v="Mission_291"/>
    <x v="6"/>
    <x v="2"/>
    <x v="277"/>
    <s v="Kourou"/>
    <x v="4"/>
    <x v="3"/>
    <x v="1"/>
    <n v="7"/>
    <n v="83"/>
    <n v="4626.12"/>
    <n v="40163"/>
    <x v="2"/>
    <x v="1"/>
    <s v="Sun-Synchronous"/>
    <n v="50"/>
    <n v="214.43"/>
  </r>
  <r>
    <s v="SM-00292"/>
    <s v="Mission_292"/>
    <x v="6"/>
    <x v="5"/>
    <x v="278"/>
    <s v="Baikonur"/>
    <x v="0"/>
    <x v="0"/>
    <x v="0"/>
    <n v="6"/>
    <n v="1131"/>
    <n v="1394.76"/>
    <n v="13364"/>
    <x v="1"/>
    <x v="0"/>
    <s v="Transfer Orbit"/>
    <n v="39"/>
    <n v="159.24"/>
  </r>
  <r>
    <s v="SM-00293"/>
    <s v="Mission_293"/>
    <x v="2"/>
    <x v="3"/>
    <x v="279"/>
    <s v="Kennedy"/>
    <x v="2"/>
    <x v="5"/>
    <x v="2"/>
    <n v="7"/>
    <n v="1049"/>
    <n v="4587.6899999999996"/>
    <n v="28429"/>
    <x v="2"/>
    <x v="3"/>
    <s v="Transfer Orbit"/>
    <n v="8"/>
    <n v="75.56"/>
  </r>
  <r>
    <s v="SM-00294"/>
    <s v="Mission_294"/>
    <x v="0"/>
    <x v="3"/>
    <x v="280"/>
    <s v="Jiuquan"/>
    <x v="5"/>
    <x v="1"/>
    <x v="0"/>
    <n v="5"/>
    <n v="986"/>
    <n v="2982.43"/>
    <n v="40120"/>
    <x v="1"/>
    <x v="2"/>
    <s v="LEO"/>
    <n v="17"/>
    <n v="175.64"/>
  </r>
  <r>
    <s v="SM-00295"/>
    <s v="Mission_295"/>
    <x v="6"/>
    <x v="2"/>
    <x v="281"/>
    <s v="Sriharikota"/>
    <x v="0"/>
    <x v="2"/>
    <x v="1"/>
    <n v="6"/>
    <n v="166"/>
    <n v="680.79"/>
    <n v="3764"/>
    <x v="1"/>
    <x v="2"/>
    <s v="LEO"/>
    <n v="32"/>
    <n v="122.04"/>
  </r>
  <r>
    <s v="SM-00296"/>
    <s v="Mission_296"/>
    <x v="4"/>
    <x v="1"/>
    <x v="282"/>
    <s v="Kourou"/>
    <x v="5"/>
    <x v="2"/>
    <x v="4"/>
    <n v="2"/>
    <n v="668"/>
    <n v="2682.81"/>
    <n v="21760"/>
    <x v="2"/>
    <x v="1"/>
    <s v="MEO"/>
    <n v="36"/>
    <n v="150.15"/>
  </r>
  <r>
    <s v="SM-00297"/>
    <s v="Mission_297"/>
    <x v="0"/>
    <x v="0"/>
    <x v="283"/>
    <s v="Kourou"/>
    <x v="2"/>
    <x v="5"/>
    <x v="0"/>
    <n v="7"/>
    <n v="809"/>
    <n v="1072.73"/>
    <n v="41963"/>
    <x v="1"/>
    <x v="3"/>
    <s v="Transfer Orbit"/>
    <n v="5"/>
    <n v="30.76"/>
  </r>
  <r>
    <s v="SM-00298"/>
    <s v="Mission_298"/>
    <x v="3"/>
    <x v="5"/>
    <x v="284"/>
    <s v="Tanegashima"/>
    <x v="1"/>
    <x v="5"/>
    <x v="4"/>
    <n v="6"/>
    <n v="411"/>
    <n v="1841.33"/>
    <n v="11755"/>
    <x v="1"/>
    <x v="2"/>
    <s v="Polar"/>
    <n v="27"/>
    <n v="17.34"/>
  </r>
  <r>
    <s v="SM-00299"/>
    <s v="Mission_299"/>
    <x v="3"/>
    <x v="4"/>
    <x v="285"/>
    <s v="Baikonur"/>
    <x v="2"/>
    <x v="2"/>
    <x v="5"/>
    <n v="8"/>
    <n v="506"/>
    <n v="1116.48"/>
    <n v="24479"/>
    <x v="1"/>
    <x v="3"/>
    <s v="GEO"/>
    <n v="41"/>
    <n v="101.05"/>
  </r>
  <r>
    <s v="SM-00300"/>
    <s v="Mission_300"/>
    <x v="6"/>
    <x v="3"/>
    <x v="286"/>
    <s v="Kennedy"/>
    <x v="0"/>
    <x v="0"/>
    <x v="3"/>
    <n v="3"/>
    <n v="1273"/>
    <n v="2459.69"/>
    <n v="5862"/>
    <x v="2"/>
    <x v="1"/>
    <s v="Polar"/>
    <n v="30"/>
    <n v="73.67"/>
  </r>
  <r>
    <s v="SM-00301"/>
    <s v="Mission_301"/>
    <x v="1"/>
    <x v="3"/>
    <x v="287"/>
    <s v="Sriharikota"/>
    <x v="3"/>
    <x v="4"/>
    <x v="3"/>
    <n v="2"/>
    <n v="420"/>
    <n v="2634.7"/>
    <n v="34181"/>
    <x v="2"/>
    <x v="0"/>
    <s v="GEO"/>
    <n v="33"/>
    <n v="27.37"/>
  </r>
  <r>
    <s v="SM-00302"/>
    <s v="Mission_302"/>
    <x v="6"/>
    <x v="1"/>
    <x v="288"/>
    <s v="Jiuquan"/>
    <x v="4"/>
    <x v="4"/>
    <x v="0"/>
    <n v="2"/>
    <n v="159"/>
    <n v="157.02000000000001"/>
    <n v="14276"/>
    <x v="0"/>
    <x v="3"/>
    <s v="Sun-Synchronous"/>
    <n v="18"/>
    <n v="176.75"/>
  </r>
  <r>
    <s v="SM-00303"/>
    <s v="Mission_303"/>
    <x v="5"/>
    <x v="2"/>
    <x v="289"/>
    <s v="Jiuquan"/>
    <x v="2"/>
    <x v="1"/>
    <x v="0"/>
    <n v="7"/>
    <n v="487"/>
    <n v="3538.62"/>
    <n v="37575"/>
    <x v="1"/>
    <x v="1"/>
    <s v="MEO"/>
    <n v="38"/>
    <n v="145.44999999999999"/>
  </r>
  <r>
    <s v="SM-00304"/>
    <s v="Mission_304"/>
    <x v="1"/>
    <x v="3"/>
    <x v="290"/>
    <s v="Jiuquan"/>
    <x v="2"/>
    <x v="3"/>
    <x v="2"/>
    <n v="0"/>
    <n v="268"/>
    <n v="4695.6899999999996"/>
    <n v="32002"/>
    <x v="0"/>
    <x v="2"/>
    <s v="MEO"/>
    <n v="46"/>
    <n v="10.48"/>
  </r>
  <r>
    <s v="SM-00305"/>
    <s v="Mission_305"/>
    <x v="3"/>
    <x v="4"/>
    <x v="291"/>
    <s v="Kennedy"/>
    <x v="5"/>
    <x v="1"/>
    <x v="2"/>
    <n v="4"/>
    <n v="874"/>
    <n v="1383.2"/>
    <n v="29857"/>
    <x v="1"/>
    <x v="3"/>
    <s v="Transfer Orbit"/>
    <n v="12"/>
    <n v="43.5"/>
  </r>
  <r>
    <s v="SM-00306"/>
    <s v="Mission_306"/>
    <x v="0"/>
    <x v="1"/>
    <x v="292"/>
    <s v="Kennedy"/>
    <x v="4"/>
    <x v="5"/>
    <x v="2"/>
    <n v="3"/>
    <n v="738"/>
    <n v="4289.6400000000003"/>
    <n v="48463"/>
    <x v="2"/>
    <x v="2"/>
    <s v="MEO"/>
    <n v="44"/>
    <n v="106.85"/>
  </r>
  <r>
    <s v="SM-00307"/>
    <s v="Mission_307"/>
    <x v="2"/>
    <x v="0"/>
    <x v="293"/>
    <s v="Kennedy"/>
    <x v="0"/>
    <x v="3"/>
    <x v="2"/>
    <n v="1"/>
    <n v="647"/>
    <n v="2535.5300000000002"/>
    <n v="48976"/>
    <x v="0"/>
    <x v="0"/>
    <s v="MEO"/>
    <n v="16"/>
    <n v="163.04"/>
  </r>
  <r>
    <s v="SM-00308"/>
    <s v="Mission_308"/>
    <x v="0"/>
    <x v="5"/>
    <x v="294"/>
    <s v="Jiuquan"/>
    <x v="2"/>
    <x v="2"/>
    <x v="3"/>
    <n v="5"/>
    <n v="431"/>
    <n v="3001.42"/>
    <n v="2029"/>
    <x v="0"/>
    <x v="1"/>
    <s v="GEO"/>
    <n v="4"/>
    <n v="176.39"/>
  </r>
  <r>
    <s v="SM-00309"/>
    <s v="Mission_309"/>
    <x v="5"/>
    <x v="5"/>
    <x v="295"/>
    <s v="Kennedy"/>
    <x v="3"/>
    <x v="2"/>
    <x v="4"/>
    <n v="6"/>
    <n v="716"/>
    <n v="1546.47"/>
    <n v="13139"/>
    <x v="2"/>
    <x v="0"/>
    <s v="GEO"/>
    <n v="17"/>
    <n v="14.95"/>
  </r>
  <r>
    <s v="SM-00310"/>
    <s v="Mission_310"/>
    <x v="4"/>
    <x v="3"/>
    <x v="296"/>
    <s v="Tanegashima"/>
    <x v="1"/>
    <x v="3"/>
    <x v="3"/>
    <n v="6"/>
    <n v="915"/>
    <n v="3090.43"/>
    <n v="42645"/>
    <x v="0"/>
    <x v="3"/>
    <s v="Polar"/>
    <n v="50"/>
    <n v="115.36"/>
  </r>
  <r>
    <s v="SM-00311"/>
    <s v="Mission_311"/>
    <x v="5"/>
    <x v="3"/>
    <x v="297"/>
    <s v="Tanegashima"/>
    <x v="3"/>
    <x v="1"/>
    <x v="2"/>
    <n v="3"/>
    <n v="1320"/>
    <n v="4458.92"/>
    <n v="5819"/>
    <x v="1"/>
    <x v="0"/>
    <s v="MEO"/>
    <n v="40"/>
    <n v="111.15"/>
  </r>
  <r>
    <s v="SM-00312"/>
    <s v="Mission_312"/>
    <x v="4"/>
    <x v="2"/>
    <x v="298"/>
    <s v="Jiuquan"/>
    <x v="5"/>
    <x v="4"/>
    <x v="1"/>
    <n v="4"/>
    <n v="1357"/>
    <n v="785.28"/>
    <n v="19652"/>
    <x v="0"/>
    <x v="3"/>
    <s v="GEO"/>
    <n v="39"/>
    <n v="138.65"/>
  </r>
  <r>
    <s v="SM-00313"/>
    <s v="Mission_313"/>
    <x v="4"/>
    <x v="4"/>
    <x v="299"/>
    <s v="Sriharikota"/>
    <x v="4"/>
    <x v="4"/>
    <x v="1"/>
    <n v="7"/>
    <n v="755"/>
    <n v="1125.49"/>
    <n v="48324"/>
    <x v="1"/>
    <x v="0"/>
    <s v="Sun-Synchronous"/>
    <n v="41"/>
    <n v="87.23"/>
  </r>
  <r>
    <s v="SM-00314"/>
    <s v="Mission_314"/>
    <x v="0"/>
    <x v="4"/>
    <x v="300"/>
    <s v="Kourou"/>
    <x v="0"/>
    <x v="4"/>
    <x v="3"/>
    <n v="7"/>
    <n v="125"/>
    <n v="700.05"/>
    <n v="37141"/>
    <x v="0"/>
    <x v="3"/>
    <s v="Polar"/>
    <n v="34"/>
    <n v="188.35"/>
  </r>
  <r>
    <s v="SM-00315"/>
    <s v="Mission_315"/>
    <x v="1"/>
    <x v="1"/>
    <x v="301"/>
    <s v="Kourou"/>
    <x v="2"/>
    <x v="5"/>
    <x v="1"/>
    <n v="2"/>
    <n v="99"/>
    <n v="4241.3100000000004"/>
    <n v="38896"/>
    <x v="0"/>
    <x v="0"/>
    <s v="Transfer Orbit"/>
    <n v="10"/>
    <n v="218.97"/>
  </r>
  <r>
    <s v="SM-00316"/>
    <s v="Mission_316"/>
    <x v="1"/>
    <x v="5"/>
    <x v="302"/>
    <s v="Sriharikota"/>
    <x v="4"/>
    <x v="1"/>
    <x v="3"/>
    <n v="2"/>
    <n v="1162"/>
    <n v="4780.3500000000004"/>
    <n v="18967"/>
    <x v="2"/>
    <x v="3"/>
    <s v="MEO"/>
    <n v="43"/>
    <n v="186.48"/>
  </r>
  <r>
    <s v="SM-00317"/>
    <s v="Mission_317"/>
    <x v="6"/>
    <x v="5"/>
    <x v="257"/>
    <s v="Kourou"/>
    <x v="1"/>
    <x v="1"/>
    <x v="3"/>
    <n v="2"/>
    <n v="1050"/>
    <n v="3365.51"/>
    <n v="8642"/>
    <x v="1"/>
    <x v="3"/>
    <s v="Polar"/>
    <n v="12"/>
    <n v="127.92"/>
  </r>
  <r>
    <s v="SM-00318"/>
    <s v="Mission_318"/>
    <x v="5"/>
    <x v="2"/>
    <x v="303"/>
    <s v="Kennedy"/>
    <x v="1"/>
    <x v="4"/>
    <x v="2"/>
    <n v="0"/>
    <n v="691"/>
    <n v="3687.83"/>
    <n v="46472"/>
    <x v="0"/>
    <x v="0"/>
    <s v="Transfer Orbit"/>
    <n v="12"/>
    <n v="41.75"/>
  </r>
  <r>
    <s v="SM-00319"/>
    <s v="Mission_319"/>
    <x v="2"/>
    <x v="0"/>
    <x v="304"/>
    <s v="Baikonur"/>
    <x v="4"/>
    <x v="1"/>
    <x v="0"/>
    <n v="7"/>
    <n v="381"/>
    <n v="193.82"/>
    <n v="38503"/>
    <x v="0"/>
    <x v="2"/>
    <s v="LEO"/>
    <n v="3"/>
    <n v="213.52"/>
  </r>
  <r>
    <s v="SM-00320"/>
    <s v="Mission_320"/>
    <x v="5"/>
    <x v="5"/>
    <x v="305"/>
    <s v="Kourou"/>
    <x v="3"/>
    <x v="0"/>
    <x v="1"/>
    <n v="5"/>
    <n v="1113"/>
    <n v="4354.71"/>
    <n v="12378"/>
    <x v="1"/>
    <x v="3"/>
    <s v="Polar"/>
    <n v="27"/>
    <n v="84.16"/>
  </r>
  <r>
    <s v="SM-00321"/>
    <s v="Mission_321"/>
    <x v="3"/>
    <x v="2"/>
    <x v="306"/>
    <s v="Kennedy"/>
    <x v="2"/>
    <x v="1"/>
    <x v="5"/>
    <n v="7"/>
    <n v="574"/>
    <n v="4207.17"/>
    <n v="30190"/>
    <x v="0"/>
    <x v="3"/>
    <s v="Polar"/>
    <n v="44"/>
    <n v="39.07"/>
  </r>
  <r>
    <s v="SM-00322"/>
    <s v="Mission_322"/>
    <x v="5"/>
    <x v="1"/>
    <x v="307"/>
    <s v="Tanegashima"/>
    <x v="3"/>
    <x v="2"/>
    <x v="3"/>
    <n v="3"/>
    <n v="1127"/>
    <n v="743.21"/>
    <n v="48778"/>
    <x v="2"/>
    <x v="2"/>
    <s v="Polar"/>
    <n v="12"/>
    <n v="47.38"/>
  </r>
  <r>
    <s v="SM-00323"/>
    <s v="Mission_323"/>
    <x v="2"/>
    <x v="4"/>
    <x v="308"/>
    <s v="Sriharikota"/>
    <x v="2"/>
    <x v="3"/>
    <x v="3"/>
    <n v="7"/>
    <n v="900"/>
    <n v="2057.66"/>
    <n v="15560"/>
    <x v="2"/>
    <x v="0"/>
    <s v="Sun-Synchronous"/>
    <n v="34"/>
    <n v="202.5"/>
  </r>
  <r>
    <s v="SM-00324"/>
    <s v="Mission_324"/>
    <x v="0"/>
    <x v="5"/>
    <x v="309"/>
    <s v="Baikonur"/>
    <x v="2"/>
    <x v="1"/>
    <x v="3"/>
    <n v="6"/>
    <n v="392"/>
    <n v="172.3"/>
    <n v="24366"/>
    <x v="2"/>
    <x v="3"/>
    <s v="Sun-Synchronous"/>
    <n v="20"/>
    <n v="50.87"/>
  </r>
  <r>
    <s v="SM-00325"/>
    <s v="Mission_325"/>
    <x v="5"/>
    <x v="5"/>
    <x v="310"/>
    <s v="Jiuquan"/>
    <x v="3"/>
    <x v="0"/>
    <x v="1"/>
    <n v="7"/>
    <n v="279"/>
    <n v="2783.08"/>
    <n v="22530"/>
    <x v="2"/>
    <x v="0"/>
    <s v="MEO"/>
    <n v="49"/>
    <n v="207.05"/>
  </r>
  <r>
    <s v="SM-00326"/>
    <s v="Mission_326"/>
    <x v="6"/>
    <x v="5"/>
    <x v="311"/>
    <s v="Tanegashima"/>
    <x v="1"/>
    <x v="3"/>
    <x v="5"/>
    <n v="8"/>
    <n v="253"/>
    <n v="3876.81"/>
    <n v="2978"/>
    <x v="2"/>
    <x v="1"/>
    <s v="Transfer Orbit"/>
    <n v="40"/>
    <n v="180.93"/>
  </r>
  <r>
    <s v="SM-00327"/>
    <s v="Mission_327"/>
    <x v="5"/>
    <x v="0"/>
    <x v="312"/>
    <s v="Sriharikota"/>
    <x v="4"/>
    <x v="5"/>
    <x v="1"/>
    <n v="7"/>
    <n v="821"/>
    <n v="4896.75"/>
    <n v="899"/>
    <x v="0"/>
    <x v="0"/>
    <s v="Sun-Synchronous"/>
    <n v="12"/>
    <n v="132.49"/>
  </r>
  <r>
    <s v="SM-00328"/>
    <s v="Mission_328"/>
    <x v="3"/>
    <x v="0"/>
    <x v="313"/>
    <s v="Tanegashima"/>
    <x v="0"/>
    <x v="2"/>
    <x v="2"/>
    <n v="0"/>
    <n v="940"/>
    <n v="138.04"/>
    <n v="41348"/>
    <x v="1"/>
    <x v="3"/>
    <s v="Sun-Synchronous"/>
    <n v="38"/>
    <n v="211.11"/>
  </r>
  <r>
    <s v="SM-00329"/>
    <s v="Mission_329"/>
    <x v="3"/>
    <x v="1"/>
    <x v="314"/>
    <s v="Jiuquan"/>
    <x v="1"/>
    <x v="4"/>
    <x v="0"/>
    <n v="2"/>
    <n v="853"/>
    <n v="513.14"/>
    <n v="26496"/>
    <x v="2"/>
    <x v="2"/>
    <s v="MEO"/>
    <n v="3"/>
    <n v="72.959999999999994"/>
  </r>
  <r>
    <s v="SM-00330"/>
    <s v="Mission_330"/>
    <x v="1"/>
    <x v="4"/>
    <x v="315"/>
    <s v="Kourou"/>
    <x v="4"/>
    <x v="2"/>
    <x v="1"/>
    <n v="8"/>
    <n v="1285"/>
    <n v="545.54"/>
    <n v="32896"/>
    <x v="2"/>
    <x v="1"/>
    <s v="LEO"/>
    <n v="23"/>
    <n v="54.77"/>
  </r>
  <r>
    <s v="SM-00331"/>
    <s v="Mission_331"/>
    <x v="3"/>
    <x v="5"/>
    <x v="316"/>
    <s v="Kourou"/>
    <x v="4"/>
    <x v="5"/>
    <x v="4"/>
    <n v="7"/>
    <n v="759"/>
    <n v="3897.85"/>
    <n v="21057"/>
    <x v="2"/>
    <x v="1"/>
    <s v="LEO"/>
    <n v="11"/>
    <n v="57.61"/>
  </r>
  <r>
    <s v="SM-00332"/>
    <s v="Mission_332"/>
    <x v="4"/>
    <x v="3"/>
    <x v="317"/>
    <s v="Kourou"/>
    <x v="1"/>
    <x v="3"/>
    <x v="1"/>
    <n v="7"/>
    <n v="855"/>
    <n v="2801.5"/>
    <n v="43033"/>
    <x v="0"/>
    <x v="1"/>
    <s v="Transfer Orbit"/>
    <n v="28"/>
    <n v="209.53"/>
  </r>
  <r>
    <s v="SM-00333"/>
    <s v="Mission_333"/>
    <x v="2"/>
    <x v="4"/>
    <x v="318"/>
    <s v="Jiuquan"/>
    <x v="3"/>
    <x v="4"/>
    <x v="0"/>
    <n v="6"/>
    <n v="1291"/>
    <n v="966.88"/>
    <n v="40383"/>
    <x v="2"/>
    <x v="3"/>
    <s v="LEO"/>
    <n v="33"/>
    <n v="105.08"/>
  </r>
  <r>
    <s v="SM-00334"/>
    <s v="Mission_334"/>
    <x v="1"/>
    <x v="4"/>
    <x v="319"/>
    <s v="Sriharikota"/>
    <x v="0"/>
    <x v="0"/>
    <x v="1"/>
    <n v="6"/>
    <n v="852"/>
    <n v="1670.05"/>
    <n v="32667"/>
    <x v="1"/>
    <x v="2"/>
    <s v="Sun-Synchronous"/>
    <n v="40"/>
    <n v="131.35"/>
  </r>
  <r>
    <s v="SM-00335"/>
    <s v="Mission_335"/>
    <x v="0"/>
    <x v="0"/>
    <x v="320"/>
    <s v="Jiuquan"/>
    <x v="2"/>
    <x v="0"/>
    <x v="2"/>
    <n v="7"/>
    <n v="483"/>
    <n v="4741.53"/>
    <n v="40874"/>
    <x v="1"/>
    <x v="2"/>
    <s v="LEO"/>
    <n v="12"/>
    <n v="151.97"/>
  </r>
  <r>
    <s v="SM-00336"/>
    <s v="Mission_336"/>
    <x v="3"/>
    <x v="4"/>
    <x v="321"/>
    <s v="Kennedy"/>
    <x v="3"/>
    <x v="3"/>
    <x v="5"/>
    <n v="4"/>
    <n v="614"/>
    <n v="3630.01"/>
    <n v="24882"/>
    <x v="0"/>
    <x v="3"/>
    <s v="MEO"/>
    <n v="8"/>
    <n v="135.13"/>
  </r>
  <r>
    <s v="SM-00337"/>
    <s v="Mission_337"/>
    <x v="3"/>
    <x v="4"/>
    <x v="322"/>
    <s v="Kennedy"/>
    <x v="5"/>
    <x v="3"/>
    <x v="1"/>
    <n v="4"/>
    <n v="662"/>
    <n v="3028.16"/>
    <n v="11809"/>
    <x v="2"/>
    <x v="0"/>
    <s v="MEO"/>
    <n v="10"/>
    <n v="180.74"/>
  </r>
  <r>
    <s v="SM-00338"/>
    <s v="Mission_338"/>
    <x v="0"/>
    <x v="3"/>
    <x v="323"/>
    <s v="Kourou"/>
    <x v="3"/>
    <x v="0"/>
    <x v="2"/>
    <n v="7"/>
    <n v="1482"/>
    <n v="3982.39"/>
    <n v="2967"/>
    <x v="1"/>
    <x v="1"/>
    <s v="GEO"/>
    <n v="1"/>
    <n v="120.85"/>
  </r>
  <r>
    <s v="SM-00339"/>
    <s v="Mission_339"/>
    <x v="1"/>
    <x v="4"/>
    <x v="289"/>
    <s v="Sriharikota"/>
    <x v="5"/>
    <x v="5"/>
    <x v="3"/>
    <n v="8"/>
    <n v="348"/>
    <n v="1160.58"/>
    <n v="29068"/>
    <x v="0"/>
    <x v="0"/>
    <s v="LEO"/>
    <n v="14"/>
    <n v="236.45"/>
  </r>
  <r>
    <s v="SM-00340"/>
    <s v="Mission_340"/>
    <x v="2"/>
    <x v="0"/>
    <x v="324"/>
    <s v="Tanegashima"/>
    <x v="4"/>
    <x v="5"/>
    <x v="1"/>
    <n v="6"/>
    <n v="641"/>
    <n v="2722"/>
    <n v="34102"/>
    <x v="2"/>
    <x v="3"/>
    <s v="LEO"/>
    <n v="42"/>
    <n v="215.36"/>
  </r>
  <r>
    <s v="SM-00341"/>
    <s v="Mission_341"/>
    <x v="1"/>
    <x v="3"/>
    <x v="325"/>
    <s v="Kennedy"/>
    <x v="2"/>
    <x v="0"/>
    <x v="4"/>
    <n v="0"/>
    <n v="931"/>
    <n v="1927.89"/>
    <n v="11087"/>
    <x v="0"/>
    <x v="1"/>
    <s v="LEO"/>
    <n v="9"/>
    <n v="200.34"/>
  </r>
  <r>
    <s v="SM-00342"/>
    <s v="Mission_342"/>
    <x v="4"/>
    <x v="3"/>
    <x v="326"/>
    <s v="Kourou"/>
    <x v="0"/>
    <x v="5"/>
    <x v="1"/>
    <n v="3"/>
    <n v="778"/>
    <n v="1847.12"/>
    <n v="47074"/>
    <x v="1"/>
    <x v="3"/>
    <s v="LEO"/>
    <n v="41"/>
    <n v="209.22"/>
  </r>
  <r>
    <s v="SM-00343"/>
    <s v="Mission_343"/>
    <x v="0"/>
    <x v="4"/>
    <x v="327"/>
    <s v="Sriharikota"/>
    <x v="1"/>
    <x v="5"/>
    <x v="4"/>
    <n v="0"/>
    <n v="1001"/>
    <n v="1927.77"/>
    <n v="48679"/>
    <x v="0"/>
    <x v="3"/>
    <s v="Sun-Synchronous"/>
    <n v="7"/>
    <n v="120.96"/>
  </r>
  <r>
    <s v="SM-00344"/>
    <s v="Mission_344"/>
    <x v="2"/>
    <x v="3"/>
    <x v="328"/>
    <s v="Baikonur"/>
    <x v="3"/>
    <x v="0"/>
    <x v="3"/>
    <n v="5"/>
    <n v="832"/>
    <n v="2733.9"/>
    <n v="11577"/>
    <x v="0"/>
    <x v="3"/>
    <s v="LEO"/>
    <n v="26"/>
    <n v="76.98"/>
  </r>
  <r>
    <s v="SM-00345"/>
    <s v="Mission_345"/>
    <x v="6"/>
    <x v="3"/>
    <x v="329"/>
    <s v="Kourou"/>
    <x v="4"/>
    <x v="3"/>
    <x v="5"/>
    <n v="4"/>
    <n v="1156"/>
    <n v="976.27"/>
    <n v="32341"/>
    <x v="1"/>
    <x v="1"/>
    <s v="LEO"/>
    <n v="37"/>
    <n v="42.45"/>
  </r>
  <r>
    <s v="SM-00346"/>
    <s v="Mission_346"/>
    <x v="3"/>
    <x v="5"/>
    <x v="330"/>
    <s v="Baikonur"/>
    <x v="5"/>
    <x v="1"/>
    <x v="0"/>
    <n v="2"/>
    <n v="452"/>
    <n v="678.89"/>
    <n v="14811"/>
    <x v="0"/>
    <x v="3"/>
    <s v="GEO"/>
    <n v="26"/>
    <n v="98.21"/>
  </r>
  <r>
    <s v="SM-00347"/>
    <s v="Mission_347"/>
    <x v="5"/>
    <x v="3"/>
    <x v="331"/>
    <s v="Kourou"/>
    <x v="5"/>
    <x v="0"/>
    <x v="3"/>
    <n v="3"/>
    <n v="44"/>
    <n v="4306.41"/>
    <n v="19895"/>
    <x v="1"/>
    <x v="3"/>
    <s v="MEO"/>
    <n v="35"/>
    <n v="73.86"/>
  </r>
  <r>
    <s v="SM-00348"/>
    <s v="Mission_348"/>
    <x v="6"/>
    <x v="2"/>
    <x v="332"/>
    <s v="Tanegashima"/>
    <x v="5"/>
    <x v="4"/>
    <x v="2"/>
    <n v="8"/>
    <n v="819"/>
    <n v="316.64"/>
    <n v="27506"/>
    <x v="1"/>
    <x v="0"/>
    <s v="LEO"/>
    <n v="44"/>
    <n v="128.69"/>
  </r>
  <r>
    <s v="SM-00349"/>
    <s v="Mission_349"/>
    <x v="6"/>
    <x v="3"/>
    <x v="218"/>
    <s v="Jiuquan"/>
    <x v="2"/>
    <x v="3"/>
    <x v="1"/>
    <n v="4"/>
    <n v="1438"/>
    <n v="176.18"/>
    <n v="30074"/>
    <x v="1"/>
    <x v="2"/>
    <s v="Polar"/>
    <n v="6"/>
    <n v="89.56"/>
  </r>
  <r>
    <s v="SM-00350"/>
    <s v="Mission_350"/>
    <x v="3"/>
    <x v="3"/>
    <x v="333"/>
    <s v="Jiuquan"/>
    <x v="0"/>
    <x v="1"/>
    <x v="1"/>
    <n v="1"/>
    <n v="752"/>
    <n v="725.47"/>
    <n v="45853"/>
    <x v="0"/>
    <x v="0"/>
    <s v="Polar"/>
    <n v="32"/>
    <n v="87.43"/>
  </r>
  <r>
    <s v="SM-00351"/>
    <s v="Mission_351"/>
    <x v="3"/>
    <x v="0"/>
    <x v="334"/>
    <s v="Tanegashima"/>
    <x v="4"/>
    <x v="2"/>
    <x v="4"/>
    <n v="8"/>
    <n v="410"/>
    <n v="1161.06"/>
    <n v="15253"/>
    <x v="0"/>
    <x v="3"/>
    <s v="Polar"/>
    <n v="25"/>
    <n v="93.72"/>
  </r>
  <r>
    <s v="SM-00352"/>
    <s v="Mission_352"/>
    <x v="5"/>
    <x v="2"/>
    <x v="335"/>
    <s v="Jiuquan"/>
    <x v="0"/>
    <x v="3"/>
    <x v="3"/>
    <n v="5"/>
    <n v="1087"/>
    <n v="4383.1899999999996"/>
    <n v="37495"/>
    <x v="0"/>
    <x v="3"/>
    <s v="GEO"/>
    <n v="28"/>
    <n v="201.48"/>
  </r>
  <r>
    <s v="SM-00353"/>
    <s v="Mission_353"/>
    <x v="5"/>
    <x v="4"/>
    <x v="336"/>
    <s v="Kennedy"/>
    <x v="4"/>
    <x v="0"/>
    <x v="3"/>
    <n v="5"/>
    <n v="1344"/>
    <n v="3831.42"/>
    <n v="14622"/>
    <x v="0"/>
    <x v="0"/>
    <s v="MEO"/>
    <n v="31"/>
    <n v="141.82"/>
  </r>
  <r>
    <s v="SM-00354"/>
    <s v="Mission_354"/>
    <x v="0"/>
    <x v="2"/>
    <x v="337"/>
    <s v="Kourou"/>
    <x v="5"/>
    <x v="1"/>
    <x v="1"/>
    <n v="8"/>
    <n v="1364"/>
    <n v="964.49"/>
    <n v="3281"/>
    <x v="1"/>
    <x v="2"/>
    <s v="GEO"/>
    <n v="22"/>
    <n v="178.91"/>
  </r>
  <r>
    <s v="SM-00355"/>
    <s v="Mission_355"/>
    <x v="6"/>
    <x v="5"/>
    <x v="338"/>
    <s v="Tanegashima"/>
    <x v="4"/>
    <x v="5"/>
    <x v="3"/>
    <n v="3"/>
    <n v="1392"/>
    <n v="2155.7800000000002"/>
    <n v="12588"/>
    <x v="0"/>
    <x v="0"/>
    <s v="Sun-Synchronous"/>
    <n v="14"/>
    <n v="142.09"/>
  </r>
  <r>
    <s v="SM-00356"/>
    <s v="Mission_356"/>
    <x v="6"/>
    <x v="4"/>
    <x v="339"/>
    <s v="Kourou"/>
    <x v="4"/>
    <x v="5"/>
    <x v="5"/>
    <n v="8"/>
    <n v="838"/>
    <n v="1700.84"/>
    <n v="47668"/>
    <x v="1"/>
    <x v="0"/>
    <s v="Polar"/>
    <n v="2"/>
    <n v="211.16"/>
  </r>
  <r>
    <s v="SM-00357"/>
    <s v="Mission_357"/>
    <x v="0"/>
    <x v="3"/>
    <x v="340"/>
    <s v="Jiuquan"/>
    <x v="5"/>
    <x v="1"/>
    <x v="3"/>
    <n v="4"/>
    <n v="661"/>
    <n v="2559.0700000000002"/>
    <n v="27974"/>
    <x v="0"/>
    <x v="3"/>
    <s v="Sun-Synchronous"/>
    <n v="21"/>
    <n v="213.07"/>
  </r>
  <r>
    <s v="SM-00358"/>
    <s v="Mission_358"/>
    <x v="2"/>
    <x v="2"/>
    <x v="341"/>
    <s v="Sriharikota"/>
    <x v="4"/>
    <x v="5"/>
    <x v="2"/>
    <n v="2"/>
    <n v="1194"/>
    <n v="4092.11"/>
    <n v="43859"/>
    <x v="0"/>
    <x v="2"/>
    <s v="MEO"/>
    <n v="14"/>
    <n v="211.19"/>
  </r>
  <r>
    <s v="SM-00359"/>
    <s v="Mission_359"/>
    <x v="3"/>
    <x v="3"/>
    <x v="342"/>
    <s v="Kourou"/>
    <x v="1"/>
    <x v="2"/>
    <x v="2"/>
    <n v="1"/>
    <n v="188"/>
    <n v="783.14"/>
    <n v="37474"/>
    <x v="2"/>
    <x v="1"/>
    <s v="Sun-Synchronous"/>
    <n v="38"/>
    <n v="203.45"/>
  </r>
  <r>
    <s v="SM-00360"/>
    <s v="Mission_360"/>
    <x v="1"/>
    <x v="1"/>
    <x v="343"/>
    <s v="Kennedy"/>
    <x v="2"/>
    <x v="2"/>
    <x v="1"/>
    <n v="1"/>
    <n v="795"/>
    <n v="4158.3500000000004"/>
    <n v="49501"/>
    <x v="1"/>
    <x v="0"/>
    <s v="LEO"/>
    <n v="13"/>
    <n v="169.87"/>
  </r>
  <r>
    <s v="SM-00361"/>
    <s v="Mission_361"/>
    <x v="5"/>
    <x v="0"/>
    <x v="344"/>
    <s v="Sriharikota"/>
    <x v="5"/>
    <x v="3"/>
    <x v="0"/>
    <n v="1"/>
    <n v="717"/>
    <n v="1417.25"/>
    <n v="33338"/>
    <x v="0"/>
    <x v="3"/>
    <s v="LEO"/>
    <n v="46"/>
    <n v="160.72"/>
  </r>
  <r>
    <s v="SM-00362"/>
    <s v="Mission_362"/>
    <x v="4"/>
    <x v="0"/>
    <x v="345"/>
    <s v="Tanegashima"/>
    <x v="4"/>
    <x v="3"/>
    <x v="2"/>
    <n v="2"/>
    <n v="380"/>
    <n v="2929.84"/>
    <n v="14462"/>
    <x v="1"/>
    <x v="2"/>
    <s v="Sun-Synchronous"/>
    <n v="9"/>
    <n v="17.260000000000002"/>
  </r>
  <r>
    <s v="SM-00363"/>
    <s v="Mission_363"/>
    <x v="5"/>
    <x v="2"/>
    <x v="346"/>
    <s v="Baikonur"/>
    <x v="4"/>
    <x v="4"/>
    <x v="5"/>
    <n v="5"/>
    <n v="802"/>
    <n v="3006.57"/>
    <n v="25925"/>
    <x v="0"/>
    <x v="3"/>
    <s v="MEO"/>
    <n v="31"/>
    <n v="224.22"/>
  </r>
  <r>
    <s v="SM-00364"/>
    <s v="Mission_364"/>
    <x v="3"/>
    <x v="2"/>
    <x v="347"/>
    <s v="Sriharikota"/>
    <x v="0"/>
    <x v="1"/>
    <x v="3"/>
    <n v="4"/>
    <n v="1118"/>
    <n v="2441.08"/>
    <n v="33379"/>
    <x v="0"/>
    <x v="3"/>
    <s v="GEO"/>
    <n v="35"/>
    <n v="153.26"/>
  </r>
  <r>
    <s v="SM-00365"/>
    <s v="Mission_365"/>
    <x v="0"/>
    <x v="2"/>
    <x v="348"/>
    <s v="Kennedy"/>
    <x v="1"/>
    <x v="0"/>
    <x v="4"/>
    <n v="6"/>
    <n v="535"/>
    <n v="4526.1899999999996"/>
    <n v="9059"/>
    <x v="2"/>
    <x v="0"/>
    <s v="MEO"/>
    <n v="31"/>
    <n v="200.85"/>
  </r>
  <r>
    <s v="SM-00366"/>
    <s v="Mission_366"/>
    <x v="5"/>
    <x v="1"/>
    <x v="349"/>
    <s v="Tanegashima"/>
    <x v="4"/>
    <x v="2"/>
    <x v="4"/>
    <n v="2"/>
    <n v="139"/>
    <n v="105.21"/>
    <n v="44058"/>
    <x v="0"/>
    <x v="2"/>
    <s v="MEO"/>
    <n v="30"/>
    <n v="157.66"/>
  </r>
  <r>
    <s v="SM-00367"/>
    <s v="Mission_367"/>
    <x v="5"/>
    <x v="1"/>
    <x v="350"/>
    <s v="Sriharikota"/>
    <x v="1"/>
    <x v="2"/>
    <x v="1"/>
    <n v="1"/>
    <n v="1264"/>
    <n v="2102.7800000000002"/>
    <n v="42334"/>
    <x v="1"/>
    <x v="1"/>
    <s v="LEO"/>
    <n v="36"/>
    <n v="242.46"/>
  </r>
  <r>
    <s v="SM-00368"/>
    <s v="Mission_368"/>
    <x v="0"/>
    <x v="0"/>
    <x v="351"/>
    <s v="Baikonur"/>
    <x v="1"/>
    <x v="3"/>
    <x v="0"/>
    <n v="6"/>
    <n v="26"/>
    <n v="2487.46"/>
    <n v="38074"/>
    <x v="2"/>
    <x v="3"/>
    <s v="Sun-Synchronous"/>
    <n v="27"/>
    <n v="154.25"/>
  </r>
  <r>
    <s v="SM-00369"/>
    <s v="Mission_369"/>
    <x v="2"/>
    <x v="4"/>
    <x v="352"/>
    <s v="Baikonur"/>
    <x v="2"/>
    <x v="0"/>
    <x v="5"/>
    <n v="1"/>
    <n v="39"/>
    <n v="2644.58"/>
    <n v="1903"/>
    <x v="0"/>
    <x v="1"/>
    <s v="Polar"/>
    <n v="22"/>
    <n v="118.77"/>
  </r>
  <r>
    <s v="SM-00370"/>
    <s v="Mission_370"/>
    <x v="6"/>
    <x v="1"/>
    <x v="353"/>
    <s v="Kourou"/>
    <x v="0"/>
    <x v="4"/>
    <x v="2"/>
    <n v="1"/>
    <n v="359"/>
    <n v="4593.12"/>
    <n v="25294"/>
    <x v="2"/>
    <x v="1"/>
    <s v="Polar"/>
    <n v="45"/>
    <n v="98.59"/>
  </r>
  <r>
    <s v="SM-00371"/>
    <s v="Mission_371"/>
    <x v="1"/>
    <x v="5"/>
    <x v="354"/>
    <s v="Sriharikota"/>
    <x v="0"/>
    <x v="2"/>
    <x v="5"/>
    <n v="6"/>
    <n v="842"/>
    <n v="1797.53"/>
    <n v="6436"/>
    <x v="2"/>
    <x v="2"/>
    <s v="MEO"/>
    <n v="30"/>
    <n v="66.349999999999994"/>
  </r>
  <r>
    <s v="SM-00372"/>
    <s v="Mission_372"/>
    <x v="1"/>
    <x v="2"/>
    <x v="355"/>
    <s v="Tanegashima"/>
    <x v="4"/>
    <x v="0"/>
    <x v="3"/>
    <n v="1"/>
    <n v="1224"/>
    <n v="2249.7600000000002"/>
    <n v="34228"/>
    <x v="1"/>
    <x v="0"/>
    <s v="Transfer Orbit"/>
    <n v="10"/>
    <n v="187.09"/>
  </r>
  <r>
    <s v="SM-00373"/>
    <s v="Mission_373"/>
    <x v="4"/>
    <x v="3"/>
    <x v="356"/>
    <s v="Kourou"/>
    <x v="5"/>
    <x v="4"/>
    <x v="3"/>
    <n v="6"/>
    <n v="438"/>
    <n v="1452.79"/>
    <n v="3603"/>
    <x v="1"/>
    <x v="2"/>
    <s v="LEO"/>
    <n v="22"/>
    <n v="90.04"/>
  </r>
  <r>
    <s v="SM-00374"/>
    <s v="Mission_374"/>
    <x v="3"/>
    <x v="4"/>
    <x v="357"/>
    <s v="Baikonur"/>
    <x v="0"/>
    <x v="2"/>
    <x v="2"/>
    <n v="0"/>
    <n v="1375"/>
    <n v="217.47"/>
    <n v="17341"/>
    <x v="0"/>
    <x v="0"/>
    <s v="GEO"/>
    <n v="45"/>
    <n v="232.34"/>
  </r>
  <r>
    <s v="SM-00375"/>
    <s v="Mission_375"/>
    <x v="6"/>
    <x v="5"/>
    <x v="358"/>
    <s v="Jiuquan"/>
    <x v="4"/>
    <x v="1"/>
    <x v="5"/>
    <n v="6"/>
    <n v="106"/>
    <n v="4229.5600000000004"/>
    <n v="31264"/>
    <x v="2"/>
    <x v="1"/>
    <s v="Polar"/>
    <n v="49"/>
    <n v="223.14"/>
  </r>
  <r>
    <s v="SM-00376"/>
    <s v="Mission_376"/>
    <x v="1"/>
    <x v="4"/>
    <x v="359"/>
    <s v="Jiuquan"/>
    <x v="5"/>
    <x v="3"/>
    <x v="5"/>
    <n v="2"/>
    <n v="88"/>
    <n v="753.58"/>
    <n v="4176"/>
    <x v="2"/>
    <x v="3"/>
    <s v="GEO"/>
    <n v="14"/>
    <n v="154.1"/>
  </r>
  <r>
    <s v="SM-00377"/>
    <s v="Mission_377"/>
    <x v="3"/>
    <x v="5"/>
    <x v="360"/>
    <s v="Kourou"/>
    <x v="3"/>
    <x v="0"/>
    <x v="5"/>
    <n v="2"/>
    <n v="773"/>
    <n v="3554.66"/>
    <n v="34124"/>
    <x v="0"/>
    <x v="3"/>
    <s v="LEO"/>
    <n v="43"/>
    <n v="82.96"/>
  </r>
  <r>
    <s v="SM-00378"/>
    <s v="Mission_378"/>
    <x v="4"/>
    <x v="5"/>
    <x v="361"/>
    <s v="Tanegashima"/>
    <x v="0"/>
    <x v="4"/>
    <x v="2"/>
    <n v="1"/>
    <n v="902"/>
    <n v="4161.12"/>
    <n v="10016"/>
    <x v="2"/>
    <x v="1"/>
    <s v="Transfer Orbit"/>
    <n v="45"/>
    <n v="5.46"/>
  </r>
  <r>
    <s v="SM-00379"/>
    <s v="Mission_379"/>
    <x v="2"/>
    <x v="4"/>
    <x v="362"/>
    <s v="Tanegashima"/>
    <x v="2"/>
    <x v="0"/>
    <x v="1"/>
    <n v="8"/>
    <n v="819"/>
    <n v="3377.78"/>
    <n v="45298"/>
    <x v="1"/>
    <x v="2"/>
    <s v="LEO"/>
    <n v="5"/>
    <n v="143.74"/>
  </r>
  <r>
    <s v="SM-00380"/>
    <s v="Mission_380"/>
    <x v="6"/>
    <x v="1"/>
    <x v="363"/>
    <s v="Kourou"/>
    <x v="2"/>
    <x v="3"/>
    <x v="4"/>
    <n v="2"/>
    <n v="84"/>
    <n v="3065.2"/>
    <n v="33791"/>
    <x v="2"/>
    <x v="2"/>
    <s v="Transfer Orbit"/>
    <n v="36"/>
    <n v="125.03"/>
  </r>
  <r>
    <s v="SM-00381"/>
    <s v="Mission_381"/>
    <x v="6"/>
    <x v="5"/>
    <x v="364"/>
    <s v="Jiuquan"/>
    <x v="5"/>
    <x v="4"/>
    <x v="3"/>
    <n v="1"/>
    <n v="909"/>
    <n v="749"/>
    <n v="38068"/>
    <x v="2"/>
    <x v="3"/>
    <s v="Sun-Synchronous"/>
    <n v="42"/>
    <n v="210.24"/>
  </r>
  <r>
    <s v="SM-00382"/>
    <s v="Mission_382"/>
    <x v="6"/>
    <x v="0"/>
    <x v="365"/>
    <s v="Kourou"/>
    <x v="0"/>
    <x v="5"/>
    <x v="3"/>
    <n v="7"/>
    <n v="83"/>
    <n v="1299.81"/>
    <n v="44392"/>
    <x v="2"/>
    <x v="2"/>
    <s v="Sun-Synchronous"/>
    <n v="34"/>
    <n v="248.46"/>
  </r>
  <r>
    <s v="SM-00383"/>
    <s v="Mission_383"/>
    <x v="0"/>
    <x v="5"/>
    <x v="366"/>
    <s v="Sriharikota"/>
    <x v="1"/>
    <x v="3"/>
    <x v="0"/>
    <n v="8"/>
    <n v="328"/>
    <n v="3236.24"/>
    <n v="19648"/>
    <x v="0"/>
    <x v="2"/>
    <s v="GEO"/>
    <n v="11"/>
    <n v="199.83"/>
  </r>
  <r>
    <s v="SM-00384"/>
    <s v="Mission_384"/>
    <x v="1"/>
    <x v="0"/>
    <x v="367"/>
    <s v="Tanegashima"/>
    <x v="1"/>
    <x v="0"/>
    <x v="2"/>
    <n v="1"/>
    <n v="383"/>
    <n v="2947.19"/>
    <n v="3549"/>
    <x v="0"/>
    <x v="3"/>
    <s v="MEO"/>
    <n v="4"/>
    <n v="51.17"/>
  </r>
  <r>
    <s v="SM-00385"/>
    <s v="Mission_385"/>
    <x v="3"/>
    <x v="5"/>
    <x v="368"/>
    <s v="Tanegashima"/>
    <x v="4"/>
    <x v="3"/>
    <x v="2"/>
    <n v="3"/>
    <n v="1114"/>
    <n v="1204.77"/>
    <n v="21208"/>
    <x v="1"/>
    <x v="1"/>
    <s v="MEO"/>
    <n v="44"/>
    <n v="130.54"/>
  </r>
  <r>
    <s v="SM-00386"/>
    <s v="Mission_386"/>
    <x v="1"/>
    <x v="4"/>
    <x v="369"/>
    <s v="Kourou"/>
    <x v="2"/>
    <x v="1"/>
    <x v="3"/>
    <n v="2"/>
    <n v="840"/>
    <n v="1965.38"/>
    <n v="26080"/>
    <x v="1"/>
    <x v="1"/>
    <s v="MEO"/>
    <n v="38"/>
    <n v="178.95"/>
  </r>
  <r>
    <s v="SM-00387"/>
    <s v="Mission_387"/>
    <x v="4"/>
    <x v="5"/>
    <x v="370"/>
    <s v="Kourou"/>
    <x v="4"/>
    <x v="1"/>
    <x v="4"/>
    <n v="2"/>
    <n v="543"/>
    <n v="925.43"/>
    <n v="49860"/>
    <x v="1"/>
    <x v="2"/>
    <s v="Transfer Orbit"/>
    <n v="1"/>
    <n v="18.22"/>
  </r>
  <r>
    <s v="SM-00388"/>
    <s v="Mission_388"/>
    <x v="1"/>
    <x v="3"/>
    <x v="371"/>
    <s v="Kennedy"/>
    <x v="5"/>
    <x v="2"/>
    <x v="4"/>
    <n v="0"/>
    <n v="569"/>
    <n v="3137.81"/>
    <n v="26463"/>
    <x v="1"/>
    <x v="1"/>
    <s v="GEO"/>
    <n v="12"/>
    <n v="33.1"/>
  </r>
  <r>
    <s v="SM-00389"/>
    <s v="Mission_389"/>
    <x v="2"/>
    <x v="5"/>
    <x v="372"/>
    <s v="Kourou"/>
    <x v="5"/>
    <x v="0"/>
    <x v="4"/>
    <n v="6"/>
    <n v="231"/>
    <n v="2590.59"/>
    <n v="173"/>
    <x v="2"/>
    <x v="2"/>
    <s v="Sun-Synchronous"/>
    <n v="50"/>
    <n v="246.95"/>
  </r>
  <r>
    <s v="SM-00390"/>
    <s v="Mission_390"/>
    <x v="3"/>
    <x v="5"/>
    <x v="373"/>
    <s v="Sriharikota"/>
    <x v="3"/>
    <x v="0"/>
    <x v="1"/>
    <n v="1"/>
    <n v="737"/>
    <n v="1312.32"/>
    <n v="2953"/>
    <x v="2"/>
    <x v="0"/>
    <s v="MEO"/>
    <n v="48"/>
    <n v="210"/>
  </r>
  <r>
    <s v="SM-00391"/>
    <s v="Mission_391"/>
    <x v="3"/>
    <x v="3"/>
    <x v="374"/>
    <s v="Sriharikota"/>
    <x v="2"/>
    <x v="0"/>
    <x v="2"/>
    <n v="8"/>
    <n v="452"/>
    <n v="879.84"/>
    <n v="27732"/>
    <x v="1"/>
    <x v="2"/>
    <s v="Polar"/>
    <n v="17"/>
    <n v="220.1"/>
  </r>
  <r>
    <s v="SM-00392"/>
    <s v="Mission_392"/>
    <x v="3"/>
    <x v="2"/>
    <x v="375"/>
    <s v="Tanegashima"/>
    <x v="1"/>
    <x v="0"/>
    <x v="5"/>
    <n v="6"/>
    <n v="800"/>
    <n v="3020"/>
    <n v="2239"/>
    <x v="1"/>
    <x v="2"/>
    <s v="LEO"/>
    <n v="46"/>
    <n v="191.68"/>
  </r>
  <r>
    <s v="SM-00393"/>
    <s v="Mission_393"/>
    <x v="1"/>
    <x v="5"/>
    <x v="376"/>
    <s v="Jiuquan"/>
    <x v="3"/>
    <x v="5"/>
    <x v="3"/>
    <n v="2"/>
    <n v="260"/>
    <n v="541"/>
    <n v="34235"/>
    <x v="1"/>
    <x v="2"/>
    <s v="Transfer Orbit"/>
    <n v="10"/>
    <n v="232.89"/>
  </r>
  <r>
    <s v="SM-00394"/>
    <s v="Mission_394"/>
    <x v="0"/>
    <x v="4"/>
    <x v="377"/>
    <s v="Kourou"/>
    <x v="0"/>
    <x v="3"/>
    <x v="1"/>
    <n v="2"/>
    <n v="707"/>
    <n v="588.04"/>
    <n v="39310"/>
    <x v="1"/>
    <x v="3"/>
    <s v="GEO"/>
    <n v="8"/>
    <n v="210.41"/>
  </r>
  <r>
    <s v="SM-00395"/>
    <s v="Mission_395"/>
    <x v="4"/>
    <x v="3"/>
    <x v="378"/>
    <s v="Jiuquan"/>
    <x v="1"/>
    <x v="5"/>
    <x v="5"/>
    <n v="5"/>
    <n v="1096"/>
    <n v="171.18"/>
    <n v="18208"/>
    <x v="0"/>
    <x v="3"/>
    <s v="GEO"/>
    <n v="38"/>
    <n v="108.29"/>
  </r>
  <r>
    <s v="SM-00396"/>
    <s v="Mission_396"/>
    <x v="3"/>
    <x v="5"/>
    <x v="379"/>
    <s v="Baikonur"/>
    <x v="5"/>
    <x v="5"/>
    <x v="4"/>
    <n v="1"/>
    <n v="1281"/>
    <n v="2072.52"/>
    <n v="2062"/>
    <x v="0"/>
    <x v="2"/>
    <s v="Transfer Orbit"/>
    <n v="9"/>
    <n v="200.17"/>
  </r>
  <r>
    <s v="SM-00397"/>
    <s v="Mission_397"/>
    <x v="1"/>
    <x v="3"/>
    <x v="380"/>
    <s v="Kourou"/>
    <x v="0"/>
    <x v="0"/>
    <x v="1"/>
    <n v="3"/>
    <n v="688"/>
    <n v="4411.55"/>
    <n v="26188"/>
    <x v="2"/>
    <x v="1"/>
    <s v="Sun-Synchronous"/>
    <n v="14"/>
    <n v="66.47"/>
  </r>
  <r>
    <s v="SM-00398"/>
    <s v="Mission_398"/>
    <x v="5"/>
    <x v="2"/>
    <x v="381"/>
    <s v="Baikonur"/>
    <x v="2"/>
    <x v="4"/>
    <x v="4"/>
    <n v="2"/>
    <n v="1368"/>
    <n v="4116.78"/>
    <n v="13723"/>
    <x v="0"/>
    <x v="1"/>
    <s v="LEO"/>
    <n v="30"/>
    <n v="88.3"/>
  </r>
  <r>
    <s v="SM-00399"/>
    <s v="Mission_399"/>
    <x v="3"/>
    <x v="3"/>
    <x v="382"/>
    <s v="Jiuquan"/>
    <x v="2"/>
    <x v="1"/>
    <x v="5"/>
    <n v="4"/>
    <n v="1251"/>
    <n v="272.89"/>
    <n v="12774"/>
    <x v="2"/>
    <x v="0"/>
    <s v="GEO"/>
    <n v="1"/>
    <n v="182.29"/>
  </r>
  <r>
    <s v="SM-00400"/>
    <s v="Mission_400"/>
    <x v="2"/>
    <x v="1"/>
    <x v="383"/>
    <s v="Tanegashima"/>
    <x v="5"/>
    <x v="1"/>
    <x v="5"/>
    <n v="5"/>
    <n v="280"/>
    <n v="4835.3"/>
    <n v="3085"/>
    <x v="1"/>
    <x v="3"/>
    <s v="Sun-Synchronous"/>
    <n v="44"/>
    <n v="104.44"/>
  </r>
  <r>
    <s v="SM-00401"/>
    <s v="Mission_401"/>
    <x v="6"/>
    <x v="3"/>
    <x v="384"/>
    <s v="Kennedy"/>
    <x v="1"/>
    <x v="4"/>
    <x v="1"/>
    <n v="6"/>
    <n v="964"/>
    <n v="1697.31"/>
    <n v="10058"/>
    <x v="0"/>
    <x v="3"/>
    <s v="Polar"/>
    <n v="50"/>
    <n v="154.69"/>
  </r>
  <r>
    <s v="SM-00402"/>
    <s v="Mission_402"/>
    <x v="2"/>
    <x v="0"/>
    <x v="385"/>
    <s v="Sriharikota"/>
    <x v="3"/>
    <x v="2"/>
    <x v="3"/>
    <n v="5"/>
    <n v="194"/>
    <n v="3531.05"/>
    <n v="1099"/>
    <x v="1"/>
    <x v="2"/>
    <s v="Transfer Orbit"/>
    <n v="38"/>
    <n v="161.07"/>
  </r>
  <r>
    <s v="SM-00403"/>
    <s v="Mission_403"/>
    <x v="1"/>
    <x v="1"/>
    <x v="386"/>
    <s v="Sriharikota"/>
    <x v="1"/>
    <x v="0"/>
    <x v="4"/>
    <n v="4"/>
    <n v="1165"/>
    <n v="521.1"/>
    <n v="21213"/>
    <x v="2"/>
    <x v="1"/>
    <s v="LEO"/>
    <n v="2"/>
    <n v="5.59"/>
  </r>
  <r>
    <s v="SM-00404"/>
    <s v="Mission_404"/>
    <x v="3"/>
    <x v="0"/>
    <x v="387"/>
    <s v="Jiuquan"/>
    <x v="3"/>
    <x v="0"/>
    <x v="2"/>
    <n v="7"/>
    <n v="178"/>
    <n v="1715.31"/>
    <n v="35142"/>
    <x v="1"/>
    <x v="3"/>
    <s v="MEO"/>
    <n v="35"/>
    <n v="167.27"/>
  </r>
  <r>
    <s v="SM-00405"/>
    <s v="Mission_405"/>
    <x v="6"/>
    <x v="2"/>
    <x v="160"/>
    <s v="Jiuquan"/>
    <x v="0"/>
    <x v="5"/>
    <x v="3"/>
    <n v="3"/>
    <n v="1363"/>
    <n v="760.62"/>
    <n v="8110"/>
    <x v="1"/>
    <x v="2"/>
    <s v="GEO"/>
    <n v="25"/>
    <n v="147.12"/>
  </r>
  <r>
    <s v="SM-00406"/>
    <s v="Mission_406"/>
    <x v="5"/>
    <x v="0"/>
    <x v="217"/>
    <s v="Jiuquan"/>
    <x v="1"/>
    <x v="0"/>
    <x v="2"/>
    <n v="4"/>
    <n v="1059"/>
    <n v="3519.65"/>
    <n v="10271"/>
    <x v="1"/>
    <x v="0"/>
    <s v="Polar"/>
    <n v="42"/>
    <n v="237.06"/>
  </r>
  <r>
    <s v="SM-00407"/>
    <s v="Mission_407"/>
    <x v="1"/>
    <x v="1"/>
    <x v="388"/>
    <s v="Sriharikota"/>
    <x v="5"/>
    <x v="3"/>
    <x v="3"/>
    <n v="4"/>
    <n v="320"/>
    <n v="340.61"/>
    <n v="15182"/>
    <x v="0"/>
    <x v="3"/>
    <s v="GEO"/>
    <n v="21"/>
    <n v="56.07"/>
  </r>
  <r>
    <s v="SM-00408"/>
    <s v="Mission_408"/>
    <x v="1"/>
    <x v="3"/>
    <x v="389"/>
    <s v="Kourou"/>
    <x v="5"/>
    <x v="5"/>
    <x v="4"/>
    <n v="6"/>
    <n v="1281"/>
    <n v="372.88"/>
    <n v="44306"/>
    <x v="2"/>
    <x v="1"/>
    <s v="LEO"/>
    <n v="10"/>
    <n v="24.26"/>
  </r>
  <r>
    <s v="SM-00409"/>
    <s v="Mission_409"/>
    <x v="2"/>
    <x v="3"/>
    <x v="390"/>
    <s v="Kourou"/>
    <x v="5"/>
    <x v="0"/>
    <x v="4"/>
    <n v="4"/>
    <n v="1448"/>
    <n v="4394.5"/>
    <n v="28950"/>
    <x v="2"/>
    <x v="3"/>
    <s v="GEO"/>
    <n v="6"/>
    <n v="121.01"/>
  </r>
  <r>
    <s v="SM-00410"/>
    <s v="Mission_410"/>
    <x v="3"/>
    <x v="2"/>
    <x v="391"/>
    <s v="Kourou"/>
    <x v="0"/>
    <x v="2"/>
    <x v="2"/>
    <n v="6"/>
    <n v="294"/>
    <n v="4955.5200000000004"/>
    <n v="49654"/>
    <x v="0"/>
    <x v="2"/>
    <s v="LEO"/>
    <n v="47"/>
    <n v="247.68"/>
  </r>
  <r>
    <s v="SM-00411"/>
    <s v="Mission_411"/>
    <x v="3"/>
    <x v="0"/>
    <x v="392"/>
    <s v="Baikonur"/>
    <x v="1"/>
    <x v="0"/>
    <x v="3"/>
    <n v="0"/>
    <n v="418"/>
    <n v="1349.59"/>
    <n v="41505"/>
    <x v="1"/>
    <x v="3"/>
    <s v="Polar"/>
    <n v="5"/>
    <n v="75.790000000000006"/>
  </r>
  <r>
    <s v="SM-00412"/>
    <s v="Mission_412"/>
    <x v="3"/>
    <x v="4"/>
    <x v="393"/>
    <s v="Sriharikota"/>
    <x v="5"/>
    <x v="4"/>
    <x v="5"/>
    <n v="1"/>
    <n v="999"/>
    <n v="3737.97"/>
    <n v="18574"/>
    <x v="0"/>
    <x v="3"/>
    <s v="LEO"/>
    <n v="42"/>
    <n v="119.57"/>
  </r>
  <r>
    <s v="SM-00413"/>
    <s v="Mission_413"/>
    <x v="0"/>
    <x v="2"/>
    <x v="394"/>
    <s v="Jiuquan"/>
    <x v="3"/>
    <x v="2"/>
    <x v="5"/>
    <n v="8"/>
    <n v="377"/>
    <n v="2911.36"/>
    <n v="48576"/>
    <x v="1"/>
    <x v="3"/>
    <s v="Polar"/>
    <n v="36"/>
    <n v="9.93"/>
  </r>
  <r>
    <s v="SM-00414"/>
    <s v="Mission_414"/>
    <x v="6"/>
    <x v="3"/>
    <x v="395"/>
    <s v="Tanegashima"/>
    <x v="5"/>
    <x v="2"/>
    <x v="5"/>
    <n v="3"/>
    <n v="1400"/>
    <n v="1735.89"/>
    <n v="22702"/>
    <x v="1"/>
    <x v="2"/>
    <s v="Polar"/>
    <n v="16"/>
    <n v="2.0099999999999998"/>
  </r>
  <r>
    <s v="SM-00415"/>
    <s v="Mission_415"/>
    <x v="1"/>
    <x v="1"/>
    <x v="396"/>
    <s v="Kourou"/>
    <x v="1"/>
    <x v="1"/>
    <x v="0"/>
    <n v="5"/>
    <n v="1115"/>
    <n v="1733.47"/>
    <n v="33229"/>
    <x v="0"/>
    <x v="2"/>
    <s v="MEO"/>
    <n v="33"/>
    <n v="150.38"/>
  </r>
  <r>
    <s v="SM-00416"/>
    <s v="Mission_416"/>
    <x v="0"/>
    <x v="0"/>
    <x v="397"/>
    <s v="Jiuquan"/>
    <x v="3"/>
    <x v="3"/>
    <x v="2"/>
    <n v="4"/>
    <n v="781"/>
    <n v="3137.12"/>
    <n v="44771"/>
    <x v="0"/>
    <x v="3"/>
    <s v="LEO"/>
    <n v="40"/>
    <n v="124.53"/>
  </r>
  <r>
    <s v="SM-00417"/>
    <s v="Mission_417"/>
    <x v="5"/>
    <x v="3"/>
    <x v="398"/>
    <s v="Kourou"/>
    <x v="0"/>
    <x v="4"/>
    <x v="1"/>
    <n v="4"/>
    <n v="1014"/>
    <n v="2175.67"/>
    <n v="43655"/>
    <x v="1"/>
    <x v="0"/>
    <s v="LEO"/>
    <n v="43"/>
    <n v="115.52"/>
  </r>
  <r>
    <s v="SM-00418"/>
    <s v="Mission_418"/>
    <x v="4"/>
    <x v="1"/>
    <x v="399"/>
    <s v="Tanegashima"/>
    <x v="5"/>
    <x v="2"/>
    <x v="3"/>
    <n v="4"/>
    <n v="1179"/>
    <n v="2781.82"/>
    <n v="35901"/>
    <x v="2"/>
    <x v="0"/>
    <s v="GEO"/>
    <n v="15"/>
    <n v="48"/>
  </r>
  <r>
    <s v="SM-00419"/>
    <s v="Mission_419"/>
    <x v="2"/>
    <x v="3"/>
    <x v="400"/>
    <s v="Sriharikota"/>
    <x v="2"/>
    <x v="1"/>
    <x v="4"/>
    <n v="2"/>
    <n v="218"/>
    <n v="3858.76"/>
    <n v="47409"/>
    <x v="2"/>
    <x v="0"/>
    <s v="MEO"/>
    <n v="15"/>
    <n v="156.44999999999999"/>
  </r>
  <r>
    <s v="SM-00420"/>
    <s v="Mission_420"/>
    <x v="3"/>
    <x v="4"/>
    <x v="401"/>
    <s v="Kourou"/>
    <x v="1"/>
    <x v="2"/>
    <x v="2"/>
    <n v="1"/>
    <n v="1037"/>
    <n v="3563.29"/>
    <n v="37058"/>
    <x v="0"/>
    <x v="0"/>
    <s v="MEO"/>
    <n v="3"/>
    <n v="246.4"/>
  </r>
  <r>
    <s v="SM-00421"/>
    <s v="Mission_421"/>
    <x v="5"/>
    <x v="0"/>
    <x v="402"/>
    <s v="Kourou"/>
    <x v="5"/>
    <x v="5"/>
    <x v="5"/>
    <n v="3"/>
    <n v="1175"/>
    <n v="3611.69"/>
    <n v="1208"/>
    <x v="1"/>
    <x v="1"/>
    <s v="Sun-Synchronous"/>
    <n v="11"/>
    <n v="237.92"/>
  </r>
  <r>
    <s v="SM-00422"/>
    <s v="Mission_422"/>
    <x v="1"/>
    <x v="4"/>
    <x v="403"/>
    <s v="Kennedy"/>
    <x v="0"/>
    <x v="2"/>
    <x v="4"/>
    <n v="8"/>
    <n v="1401"/>
    <n v="4842.6499999999996"/>
    <n v="46811"/>
    <x v="1"/>
    <x v="3"/>
    <s v="LEO"/>
    <n v="38"/>
    <n v="116.79"/>
  </r>
  <r>
    <s v="SM-00423"/>
    <s v="Mission_423"/>
    <x v="3"/>
    <x v="1"/>
    <x v="404"/>
    <s v="Baikonur"/>
    <x v="1"/>
    <x v="2"/>
    <x v="0"/>
    <n v="2"/>
    <n v="1300"/>
    <n v="549.72"/>
    <n v="18520"/>
    <x v="2"/>
    <x v="3"/>
    <s v="GEO"/>
    <n v="37"/>
    <n v="128.82"/>
  </r>
  <r>
    <s v="SM-00424"/>
    <s v="Mission_424"/>
    <x v="1"/>
    <x v="0"/>
    <x v="405"/>
    <s v="Kennedy"/>
    <x v="0"/>
    <x v="0"/>
    <x v="0"/>
    <n v="1"/>
    <n v="850"/>
    <n v="3444.4"/>
    <n v="28292"/>
    <x v="1"/>
    <x v="2"/>
    <s v="Sun-Synchronous"/>
    <n v="21"/>
    <n v="183.41"/>
  </r>
  <r>
    <s v="SM-00425"/>
    <s v="Mission_425"/>
    <x v="6"/>
    <x v="2"/>
    <x v="319"/>
    <s v="Sriharikota"/>
    <x v="2"/>
    <x v="4"/>
    <x v="1"/>
    <n v="1"/>
    <n v="523"/>
    <n v="928.43"/>
    <n v="19251"/>
    <x v="2"/>
    <x v="2"/>
    <s v="Transfer Orbit"/>
    <n v="36"/>
    <n v="133.57"/>
  </r>
  <r>
    <s v="SM-00426"/>
    <s v="Mission_426"/>
    <x v="3"/>
    <x v="4"/>
    <x v="290"/>
    <s v="Baikonur"/>
    <x v="0"/>
    <x v="1"/>
    <x v="3"/>
    <n v="0"/>
    <n v="939"/>
    <n v="3778.83"/>
    <n v="20190"/>
    <x v="1"/>
    <x v="1"/>
    <s v="Transfer Orbit"/>
    <n v="50"/>
    <n v="160.46"/>
  </r>
  <r>
    <s v="SM-00427"/>
    <s v="Mission_427"/>
    <x v="3"/>
    <x v="0"/>
    <x v="406"/>
    <s v="Kennedy"/>
    <x v="4"/>
    <x v="0"/>
    <x v="4"/>
    <n v="8"/>
    <n v="239"/>
    <n v="180.26"/>
    <n v="35328"/>
    <x v="1"/>
    <x v="0"/>
    <s v="MEO"/>
    <n v="2"/>
    <n v="207.49"/>
  </r>
  <r>
    <s v="SM-00428"/>
    <s v="Mission_428"/>
    <x v="6"/>
    <x v="3"/>
    <x v="407"/>
    <s v="Sriharikota"/>
    <x v="4"/>
    <x v="0"/>
    <x v="4"/>
    <n v="5"/>
    <n v="414"/>
    <n v="2487.91"/>
    <n v="40138"/>
    <x v="0"/>
    <x v="0"/>
    <s v="Sun-Synchronous"/>
    <n v="26"/>
    <n v="41.26"/>
  </r>
  <r>
    <s v="SM-00429"/>
    <s v="Mission_429"/>
    <x v="3"/>
    <x v="3"/>
    <x v="408"/>
    <s v="Kennedy"/>
    <x v="3"/>
    <x v="0"/>
    <x v="5"/>
    <n v="1"/>
    <n v="980"/>
    <n v="89.63"/>
    <n v="16081"/>
    <x v="0"/>
    <x v="1"/>
    <s v="GEO"/>
    <n v="47"/>
    <n v="142.27000000000001"/>
  </r>
  <r>
    <s v="SM-00430"/>
    <s v="Mission_430"/>
    <x v="1"/>
    <x v="0"/>
    <x v="409"/>
    <s v="Kourou"/>
    <x v="0"/>
    <x v="3"/>
    <x v="5"/>
    <n v="5"/>
    <n v="369"/>
    <n v="4241.07"/>
    <n v="48883"/>
    <x v="0"/>
    <x v="0"/>
    <s v="MEO"/>
    <n v="38"/>
    <n v="18.62"/>
  </r>
  <r>
    <s v="SM-00431"/>
    <s v="Mission_431"/>
    <x v="2"/>
    <x v="3"/>
    <x v="410"/>
    <s v="Tanegashima"/>
    <x v="0"/>
    <x v="5"/>
    <x v="3"/>
    <n v="3"/>
    <n v="1338"/>
    <n v="1652.64"/>
    <n v="1334"/>
    <x v="2"/>
    <x v="2"/>
    <s v="MEO"/>
    <n v="39"/>
    <n v="170.1"/>
  </r>
  <r>
    <s v="SM-00432"/>
    <s v="Mission_432"/>
    <x v="3"/>
    <x v="2"/>
    <x v="411"/>
    <s v="Jiuquan"/>
    <x v="4"/>
    <x v="1"/>
    <x v="5"/>
    <n v="3"/>
    <n v="1072"/>
    <n v="3439.77"/>
    <n v="22408"/>
    <x v="1"/>
    <x v="2"/>
    <s v="Polar"/>
    <n v="9"/>
    <n v="56.93"/>
  </r>
  <r>
    <s v="SM-00433"/>
    <s v="Mission_433"/>
    <x v="4"/>
    <x v="0"/>
    <x v="412"/>
    <s v="Tanegashima"/>
    <x v="1"/>
    <x v="2"/>
    <x v="5"/>
    <n v="1"/>
    <n v="82"/>
    <n v="4066.64"/>
    <n v="35022"/>
    <x v="0"/>
    <x v="2"/>
    <s v="LEO"/>
    <n v="31"/>
    <n v="57.79"/>
  </r>
  <r>
    <s v="SM-00434"/>
    <s v="Mission_434"/>
    <x v="3"/>
    <x v="2"/>
    <x v="413"/>
    <s v="Baikonur"/>
    <x v="4"/>
    <x v="0"/>
    <x v="3"/>
    <n v="6"/>
    <n v="204"/>
    <n v="2512.19"/>
    <n v="1810"/>
    <x v="2"/>
    <x v="2"/>
    <s v="Sun-Synchronous"/>
    <n v="26"/>
    <n v="118.39"/>
  </r>
  <r>
    <s v="SM-00435"/>
    <s v="Mission_435"/>
    <x v="2"/>
    <x v="5"/>
    <x v="414"/>
    <s v="Sriharikota"/>
    <x v="3"/>
    <x v="2"/>
    <x v="0"/>
    <n v="4"/>
    <n v="1474"/>
    <n v="3763.25"/>
    <n v="36633"/>
    <x v="1"/>
    <x v="3"/>
    <s v="LEO"/>
    <n v="44"/>
    <n v="228.47"/>
  </r>
  <r>
    <s v="SM-00436"/>
    <s v="Mission_436"/>
    <x v="0"/>
    <x v="0"/>
    <x v="415"/>
    <s v="Jiuquan"/>
    <x v="4"/>
    <x v="3"/>
    <x v="2"/>
    <n v="7"/>
    <n v="1422"/>
    <n v="1122.1199999999999"/>
    <n v="48668"/>
    <x v="1"/>
    <x v="1"/>
    <s v="MEO"/>
    <n v="24"/>
    <n v="29.23"/>
  </r>
  <r>
    <s v="SM-00437"/>
    <s v="Mission_437"/>
    <x v="1"/>
    <x v="5"/>
    <x v="416"/>
    <s v="Baikonur"/>
    <x v="5"/>
    <x v="1"/>
    <x v="0"/>
    <n v="7"/>
    <n v="234"/>
    <n v="1792.79"/>
    <n v="7187"/>
    <x v="2"/>
    <x v="3"/>
    <s v="LEO"/>
    <n v="4"/>
    <n v="161.56"/>
  </r>
  <r>
    <s v="SM-00438"/>
    <s v="Mission_438"/>
    <x v="5"/>
    <x v="4"/>
    <x v="417"/>
    <s v="Kennedy"/>
    <x v="3"/>
    <x v="0"/>
    <x v="5"/>
    <n v="1"/>
    <n v="44"/>
    <n v="4997.54"/>
    <n v="5397"/>
    <x v="0"/>
    <x v="1"/>
    <s v="Sun-Synchronous"/>
    <n v="35"/>
    <n v="153.07"/>
  </r>
  <r>
    <s v="SM-00439"/>
    <s v="Mission_439"/>
    <x v="4"/>
    <x v="0"/>
    <x v="418"/>
    <s v="Kennedy"/>
    <x v="1"/>
    <x v="2"/>
    <x v="2"/>
    <n v="5"/>
    <n v="759"/>
    <n v="3717.64"/>
    <n v="2094"/>
    <x v="2"/>
    <x v="2"/>
    <s v="Transfer Orbit"/>
    <n v="28"/>
    <n v="50.19"/>
  </r>
  <r>
    <s v="SM-00440"/>
    <s v="Mission_440"/>
    <x v="5"/>
    <x v="1"/>
    <x v="419"/>
    <s v="Kourou"/>
    <x v="5"/>
    <x v="4"/>
    <x v="3"/>
    <n v="2"/>
    <n v="1153"/>
    <n v="2282.81"/>
    <n v="9885"/>
    <x v="1"/>
    <x v="0"/>
    <s v="Sun-Synchronous"/>
    <n v="13"/>
    <n v="83.44"/>
  </r>
  <r>
    <s v="SM-00441"/>
    <s v="Mission_441"/>
    <x v="0"/>
    <x v="0"/>
    <x v="420"/>
    <s v="Kourou"/>
    <x v="2"/>
    <x v="2"/>
    <x v="5"/>
    <n v="8"/>
    <n v="971"/>
    <n v="627.28"/>
    <n v="46382"/>
    <x v="0"/>
    <x v="2"/>
    <s v="LEO"/>
    <n v="10"/>
    <n v="135.53"/>
  </r>
  <r>
    <s v="SM-00442"/>
    <s v="Mission_442"/>
    <x v="6"/>
    <x v="1"/>
    <x v="421"/>
    <s v="Kourou"/>
    <x v="2"/>
    <x v="0"/>
    <x v="1"/>
    <n v="1"/>
    <n v="774"/>
    <n v="2419.6799999999998"/>
    <n v="20935"/>
    <x v="2"/>
    <x v="0"/>
    <s v="LEO"/>
    <n v="31"/>
    <n v="94.36"/>
  </r>
  <r>
    <s v="SM-00443"/>
    <s v="Mission_443"/>
    <x v="5"/>
    <x v="2"/>
    <x v="422"/>
    <s v="Kourou"/>
    <x v="4"/>
    <x v="5"/>
    <x v="1"/>
    <n v="0"/>
    <n v="239"/>
    <n v="1984.75"/>
    <n v="7079"/>
    <x v="0"/>
    <x v="0"/>
    <s v="Transfer Orbit"/>
    <n v="33"/>
    <n v="107.24"/>
  </r>
  <r>
    <s v="SM-00444"/>
    <s v="Mission_444"/>
    <x v="1"/>
    <x v="5"/>
    <x v="423"/>
    <s v="Kourou"/>
    <x v="4"/>
    <x v="5"/>
    <x v="5"/>
    <n v="6"/>
    <n v="771"/>
    <n v="3448.84"/>
    <n v="39792"/>
    <x v="2"/>
    <x v="0"/>
    <s v="Polar"/>
    <n v="22"/>
    <n v="6.54"/>
  </r>
  <r>
    <s v="SM-00445"/>
    <s v="Mission_445"/>
    <x v="0"/>
    <x v="5"/>
    <x v="424"/>
    <s v="Jiuquan"/>
    <x v="2"/>
    <x v="0"/>
    <x v="3"/>
    <n v="1"/>
    <n v="1003"/>
    <n v="1430.15"/>
    <n v="6792"/>
    <x v="0"/>
    <x v="1"/>
    <s v="Sun-Synchronous"/>
    <n v="32"/>
    <n v="220.65"/>
  </r>
  <r>
    <s v="SM-00446"/>
    <s v="Mission_446"/>
    <x v="5"/>
    <x v="2"/>
    <x v="425"/>
    <s v="Jiuquan"/>
    <x v="2"/>
    <x v="2"/>
    <x v="5"/>
    <n v="2"/>
    <n v="137"/>
    <n v="3127.2"/>
    <n v="38985"/>
    <x v="2"/>
    <x v="1"/>
    <s v="Transfer Orbit"/>
    <n v="41"/>
    <n v="22.25"/>
  </r>
  <r>
    <s v="SM-00447"/>
    <s v="Mission_447"/>
    <x v="0"/>
    <x v="4"/>
    <x v="426"/>
    <s v="Kennedy"/>
    <x v="1"/>
    <x v="0"/>
    <x v="0"/>
    <n v="6"/>
    <n v="1392"/>
    <n v="545.58000000000004"/>
    <n v="3335"/>
    <x v="0"/>
    <x v="1"/>
    <s v="LEO"/>
    <n v="24"/>
    <n v="80.260000000000005"/>
  </r>
  <r>
    <s v="SM-00448"/>
    <s v="Mission_448"/>
    <x v="5"/>
    <x v="1"/>
    <x v="427"/>
    <s v="Kennedy"/>
    <x v="5"/>
    <x v="1"/>
    <x v="3"/>
    <n v="8"/>
    <n v="998"/>
    <n v="684.02"/>
    <n v="38233"/>
    <x v="0"/>
    <x v="0"/>
    <s v="GEO"/>
    <n v="44"/>
    <n v="60.98"/>
  </r>
  <r>
    <s v="SM-00449"/>
    <s v="Mission_449"/>
    <x v="6"/>
    <x v="4"/>
    <x v="428"/>
    <s v="Jiuquan"/>
    <x v="1"/>
    <x v="5"/>
    <x v="2"/>
    <n v="4"/>
    <n v="774"/>
    <n v="2771.03"/>
    <n v="20967"/>
    <x v="1"/>
    <x v="1"/>
    <s v="GEO"/>
    <n v="46"/>
    <n v="110.74"/>
  </r>
  <r>
    <s v="SM-00450"/>
    <s v="Mission_450"/>
    <x v="4"/>
    <x v="2"/>
    <x v="429"/>
    <s v="Baikonur"/>
    <x v="1"/>
    <x v="5"/>
    <x v="4"/>
    <n v="4"/>
    <n v="246"/>
    <n v="3198.65"/>
    <n v="34150"/>
    <x v="1"/>
    <x v="2"/>
    <s v="GEO"/>
    <n v="26"/>
    <n v="154.26"/>
  </r>
  <r>
    <s v="SM-00451"/>
    <s v="Mission_451"/>
    <x v="3"/>
    <x v="1"/>
    <x v="430"/>
    <s v="Tanegashima"/>
    <x v="0"/>
    <x v="2"/>
    <x v="3"/>
    <n v="5"/>
    <n v="255"/>
    <n v="3638.34"/>
    <n v="43782"/>
    <x v="2"/>
    <x v="2"/>
    <s v="Sun-Synchronous"/>
    <n v="13"/>
    <n v="193.39"/>
  </r>
  <r>
    <s v="SM-00452"/>
    <s v="Mission_452"/>
    <x v="3"/>
    <x v="1"/>
    <x v="431"/>
    <s v="Sriharikota"/>
    <x v="4"/>
    <x v="4"/>
    <x v="5"/>
    <n v="4"/>
    <n v="9"/>
    <n v="1902.78"/>
    <n v="40765"/>
    <x v="2"/>
    <x v="3"/>
    <s v="LEO"/>
    <n v="27"/>
    <n v="34.450000000000003"/>
  </r>
  <r>
    <s v="SM-00453"/>
    <s v="Mission_453"/>
    <x v="1"/>
    <x v="3"/>
    <x v="355"/>
    <s v="Sriharikota"/>
    <x v="5"/>
    <x v="5"/>
    <x v="4"/>
    <n v="5"/>
    <n v="1292"/>
    <n v="507.79"/>
    <n v="37534"/>
    <x v="2"/>
    <x v="3"/>
    <s v="Transfer Orbit"/>
    <n v="46"/>
    <n v="112.44"/>
  </r>
  <r>
    <s v="SM-00454"/>
    <s v="Mission_454"/>
    <x v="2"/>
    <x v="2"/>
    <x v="234"/>
    <s v="Jiuquan"/>
    <x v="0"/>
    <x v="4"/>
    <x v="0"/>
    <n v="5"/>
    <n v="536"/>
    <n v="937.81"/>
    <n v="28143"/>
    <x v="0"/>
    <x v="1"/>
    <s v="Polar"/>
    <n v="44"/>
    <n v="171.75"/>
  </r>
  <r>
    <s v="SM-00455"/>
    <s v="Mission_455"/>
    <x v="1"/>
    <x v="4"/>
    <x v="432"/>
    <s v="Kourou"/>
    <x v="1"/>
    <x v="0"/>
    <x v="4"/>
    <n v="4"/>
    <n v="432"/>
    <n v="1769.98"/>
    <n v="16737"/>
    <x v="1"/>
    <x v="3"/>
    <s v="MEO"/>
    <n v="9"/>
    <n v="73.87"/>
  </r>
  <r>
    <s v="SM-00456"/>
    <s v="Mission_456"/>
    <x v="3"/>
    <x v="4"/>
    <x v="192"/>
    <s v="Sriharikota"/>
    <x v="1"/>
    <x v="3"/>
    <x v="0"/>
    <n v="1"/>
    <n v="309"/>
    <n v="2318.84"/>
    <n v="44353"/>
    <x v="1"/>
    <x v="0"/>
    <s v="MEO"/>
    <n v="8"/>
    <n v="215.8"/>
  </r>
  <r>
    <s v="SM-00457"/>
    <s v="Mission_457"/>
    <x v="3"/>
    <x v="1"/>
    <x v="433"/>
    <s v="Sriharikota"/>
    <x v="2"/>
    <x v="1"/>
    <x v="3"/>
    <n v="3"/>
    <n v="4"/>
    <n v="4909.83"/>
    <n v="30842"/>
    <x v="2"/>
    <x v="1"/>
    <s v="Transfer Orbit"/>
    <n v="12"/>
    <n v="160.44"/>
  </r>
  <r>
    <s v="SM-00458"/>
    <s v="Mission_458"/>
    <x v="3"/>
    <x v="4"/>
    <x v="434"/>
    <s v="Kourou"/>
    <x v="3"/>
    <x v="5"/>
    <x v="4"/>
    <n v="0"/>
    <n v="1161"/>
    <n v="4652.03"/>
    <n v="15152"/>
    <x v="1"/>
    <x v="1"/>
    <s v="Sun-Synchronous"/>
    <n v="11"/>
    <n v="16.899999999999999"/>
  </r>
  <r>
    <s v="SM-00459"/>
    <s v="Mission_459"/>
    <x v="6"/>
    <x v="3"/>
    <x v="435"/>
    <s v="Tanegashima"/>
    <x v="2"/>
    <x v="4"/>
    <x v="1"/>
    <n v="2"/>
    <n v="453"/>
    <n v="2181.33"/>
    <n v="47331"/>
    <x v="1"/>
    <x v="2"/>
    <s v="GEO"/>
    <n v="21"/>
    <n v="128.63999999999999"/>
  </r>
  <r>
    <s v="SM-00460"/>
    <s v="Mission_460"/>
    <x v="6"/>
    <x v="5"/>
    <x v="436"/>
    <s v="Jiuquan"/>
    <x v="3"/>
    <x v="2"/>
    <x v="1"/>
    <n v="7"/>
    <n v="1467"/>
    <n v="4742.03"/>
    <n v="16250"/>
    <x v="0"/>
    <x v="1"/>
    <s v="GEO"/>
    <n v="10"/>
    <n v="1.37"/>
  </r>
  <r>
    <s v="SM-00461"/>
    <s v="Mission_461"/>
    <x v="5"/>
    <x v="1"/>
    <x v="437"/>
    <s v="Baikonur"/>
    <x v="1"/>
    <x v="1"/>
    <x v="0"/>
    <n v="1"/>
    <n v="1293"/>
    <n v="1134.9100000000001"/>
    <n v="42600"/>
    <x v="1"/>
    <x v="0"/>
    <s v="Sun-Synchronous"/>
    <n v="2"/>
    <n v="102"/>
  </r>
  <r>
    <s v="SM-00462"/>
    <s v="Mission_462"/>
    <x v="3"/>
    <x v="0"/>
    <x v="438"/>
    <s v="Sriharikota"/>
    <x v="1"/>
    <x v="5"/>
    <x v="4"/>
    <n v="8"/>
    <n v="73"/>
    <n v="3298.38"/>
    <n v="18212"/>
    <x v="1"/>
    <x v="0"/>
    <s v="LEO"/>
    <n v="18"/>
    <n v="53.6"/>
  </r>
  <r>
    <s v="SM-00463"/>
    <s v="Mission_463"/>
    <x v="6"/>
    <x v="0"/>
    <x v="439"/>
    <s v="Jiuquan"/>
    <x v="0"/>
    <x v="0"/>
    <x v="3"/>
    <n v="6"/>
    <n v="395"/>
    <n v="3542.25"/>
    <n v="35187"/>
    <x v="0"/>
    <x v="1"/>
    <s v="Transfer Orbit"/>
    <n v="6"/>
    <n v="76.430000000000007"/>
  </r>
  <r>
    <s v="SM-00464"/>
    <s v="Mission_464"/>
    <x v="4"/>
    <x v="5"/>
    <x v="440"/>
    <s v="Kourou"/>
    <x v="1"/>
    <x v="1"/>
    <x v="1"/>
    <n v="0"/>
    <n v="197"/>
    <n v="244.4"/>
    <n v="22077"/>
    <x v="1"/>
    <x v="1"/>
    <s v="LEO"/>
    <n v="14"/>
    <n v="208.04"/>
  </r>
  <r>
    <s v="SM-00465"/>
    <s v="Mission_465"/>
    <x v="1"/>
    <x v="2"/>
    <x v="441"/>
    <s v="Kennedy"/>
    <x v="3"/>
    <x v="0"/>
    <x v="4"/>
    <n v="3"/>
    <n v="74"/>
    <n v="3420.97"/>
    <n v="15973"/>
    <x v="0"/>
    <x v="3"/>
    <s v="MEO"/>
    <n v="14"/>
    <n v="187.88"/>
  </r>
  <r>
    <s v="SM-00466"/>
    <s v="Mission_466"/>
    <x v="0"/>
    <x v="0"/>
    <x v="61"/>
    <s v="Sriharikota"/>
    <x v="1"/>
    <x v="3"/>
    <x v="2"/>
    <n v="0"/>
    <n v="272"/>
    <n v="1648.39"/>
    <n v="21063"/>
    <x v="1"/>
    <x v="3"/>
    <s v="MEO"/>
    <n v="44"/>
    <n v="6.7"/>
  </r>
  <r>
    <s v="SM-00467"/>
    <s v="Mission_467"/>
    <x v="6"/>
    <x v="4"/>
    <x v="442"/>
    <s v="Jiuquan"/>
    <x v="0"/>
    <x v="2"/>
    <x v="0"/>
    <n v="3"/>
    <n v="1403"/>
    <n v="3257.69"/>
    <n v="47309"/>
    <x v="1"/>
    <x v="0"/>
    <s v="MEO"/>
    <n v="49"/>
    <n v="243.17"/>
  </r>
  <r>
    <s v="SM-00468"/>
    <s v="Mission_468"/>
    <x v="2"/>
    <x v="0"/>
    <x v="443"/>
    <s v="Jiuquan"/>
    <x v="0"/>
    <x v="1"/>
    <x v="3"/>
    <n v="8"/>
    <n v="415"/>
    <n v="2893.25"/>
    <n v="4743"/>
    <x v="1"/>
    <x v="1"/>
    <s v="Sun-Synchronous"/>
    <n v="17"/>
    <n v="179.79"/>
  </r>
  <r>
    <s v="SM-00469"/>
    <s v="Mission_469"/>
    <x v="3"/>
    <x v="3"/>
    <x v="444"/>
    <s v="Jiuquan"/>
    <x v="2"/>
    <x v="1"/>
    <x v="5"/>
    <n v="2"/>
    <n v="554"/>
    <n v="1318.82"/>
    <n v="6664"/>
    <x v="0"/>
    <x v="1"/>
    <s v="Polar"/>
    <n v="49"/>
    <n v="69.27"/>
  </r>
  <r>
    <s v="SM-00470"/>
    <s v="Mission_470"/>
    <x v="1"/>
    <x v="0"/>
    <x v="445"/>
    <s v="Kourou"/>
    <x v="1"/>
    <x v="0"/>
    <x v="5"/>
    <n v="0"/>
    <n v="1395"/>
    <n v="1377.61"/>
    <n v="2013"/>
    <x v="0"/>
    <x v="1"/>
    <s v="Sun-Synchronous"/>
    <n v="12"/>
    <n v="185.56"/>
  </r>
  <r>
    <s v="SM-00471"/>
    <s v="Mission_471"/>
    <x v="2"/>
    <x v="3"/>
    <x v="446"/>
    <s v="Kourou"/>
    <x v="1"/>
    <x v="5"/>
    <x v="5"/>
    <n v="8"/>
    <n v="115"/>
    <n v="662.54"/>
    <n v="2709"/>
    <x v="2"/>
    <x v="0"/>
    <s v="GEO"/>
    <n v="13"/>
    <n v="43.72"/>
  </r>
  <r>
    <s v="SM-00472"/>
    <s v="Mission_472"/>
    <x v="2"/>
    <x v="5"/>
    <x v="447"/>
    <s v="Tanegashima"/>
    <x v="1"/>
    <x v="0"/>
    <x v="1"/>
    <n v="5"/>
    <n v="1038"/>
    <n v="4303.12"/>
    <n v="29791"/>
    <x v="1"/>
    <x v="1"/>
    <s v="Polar"/>
    <n v="24"/>
    <n v="161.94999999999999"/>
  </r>
  <r>
    <s v="SM-00473"/>
    <s v="Mission_473"/>
    <x v="1"/>
    <x v="3"/>
    <x v="448"/>
    <s v="Jiuquan"/>
    <x v="5"/>
    <x v="5"/>
    <x v="0"/>
    <n v="5"/>
    <n v="1475"/>
    <n v="1066.46"/>
    <n v="28706"/>
    <x v="0"/>
    <x v="3"/>
    <s v="Polar"/>
    <n v="43"/>
    <n v="15.42"/>
  </r>
  <r>
    <s v="SM-00474"/>
    <s v="Mission_474"/>
    <x v="5"/>
    <x v="4"/>
    <x v="449"/>
    <s v="Kourou"/>
    <x v="2"/>
    <x v="2"/>
    <x v="0"/>
    <n v="5"/>
    <n v="1342"/>
    <n v="358.53"/>
    <n v="15264"/>
    <x v="0"/>
    <x v="3"/>
    <s v="Transfer Orbit"/>
    <n v="30"/>
    <n v="84.17"/>
  </r>
  <r>
    <s v="SM-00475"/>
    <s v="Mission_475"/>
    <x v="1"/>
    <x v="0"/>
    <x v="450"/>
    <s v="Kourou"/>
    <x v="2"/>
    <x v="5"/>
    <x v="2"/>
    <n v="5"/>
    <n v="1425"/>
    <n v="2497.08"/>
    <n v="34544"/>
    <x v="2"/>
    <x v="0"/>
    <s v="Transfer Orbit"/>
    <n v="29"/>
    <n v="221.86"/>
  </r>
  <r>
    <s v="SM-00476"/>
    <s v="Mission_476"/>
    <x v="2"/>
    <x v="5"/>
    <x v="451"/>
    <s v="Sriharikota"/>
    <x v="2"/>
    <x v="1"/>
    <x v="3"/>
    <n v="5"/>
    <n v="1220"/>
    <n v="2745.58"/>
    <n v="45264"/>
    <x v="1"/>
    <x v="0"/>
    <s v="Polar"/>
    <n v="28"/>
    <n v="239.29"/>
  </r>
  <r>
    <s v="SM-00477"/>
    <s v="Mission_477"/>
    <x v="4"/>
    <x v="0"/>
    <x v="452"/>
    <s v="Kennedy"/>
    <x v="5"/>
    <x v="2"/>
    <x v="4"/>
    <n v="6"/>
    <n v="539"/>
    <n v="4485.2299999999996"/>
    <n v="7879"/>
    <x v="0"/>
    <x v="3"/>
    <s v="GEO"/>
    <n v="1"/>
    <n v="239.27"/>
  </r>
  <r>
    <s v="SM-00478"/>
    <s v="Mission_478"/>
    <x v="0"/>
    <x v="1"/>
    <x v="453"/>
    <s v="Kennedy"/>
    <x v="4"/>
    <x v="0"/>
    <x v="2"/>
    <n v="3"/>
    <n v="767"/>
    <n v="4653.8999999999996"/>
    <n v="35873"/>
    <x v="2"/>
    <x v="3"/>
    <s v="Sun-Synchronous"/>
    <n v="4"/>
    <n v="37.47"/>
  </r>
  <r>
    <s v="SM-00479"/>
    <s v="Mission_479"/>
    <x v="0"/>
    <x v="4"/>
    <x v="454"/>
    <s v="Jiuquan"/>
    <x v="1"/>
    <x v="1"/>
    <x v="3"/>
    <n v="0"/>
    <n v="1201"/>
    <n v="2287.52"/>
    <n v="28390"/>
    <x v="1"/>
    <x v="3"/>
    <s v="Transfer Orbit"/>
    <n v="27"/>
    <n v="38.97"/>
  </r>
  <r>
    <s v="SM-00480"/>
    <s v="Mission_480"/>
    <x v="1"/>
    <x v="2"/>
    <x v="455"/>
    <s v="Tanegashima"/>
    <x v="5"/>
    <x v="2"/>
    <x v="4"/>
    <n v="5"/>
    <n v="688"/>
    <n v="1685.23"/>
    <n v="32702"/>
    <x v="2"/>
    <x v="0"/>
    <s v="GEO"/>
    <n v="40"/>
    <n v="168.13"/>
  </r>
  <r>
    <s v="SM-00481"/>
    <s v="Mission_481"/>
    <x v="4"/>
    <x v="0"/>
    <x v="98"/>
    <s v="Sriharikota"/>
    <x v="5"/>
    <x v="5"/>
    <x v="0"/>
    <n v="3"/>
    <n v="664"/>
    <n v="4985.04"/>
    <n v="10190"/>
    <x v="0"/>
    <x v="0"/>
    <s v="GEO"/>
    <n v="41"/>
    <n v="188.63"/>
  </r>
  <r>
    <s v="SM-00482"/>
    <s v="Mission_482"/>
    <x v="4"/>
    <x v="2"/>
    <x v="456"/>
    <s v="Kennedy"/>
    <x v="0"/>
    <x v="3"/>
    <x v="4"/>
    <n v="6"/>
    <n v="880"/>
    <n v="4219.25"/>
    <n v="37749"/>
    <x v="0"/>
    <x v="3"/>
    <s v="LEO"/>
    <n v="22"/>
    <n v="197.85"/>
  </r>
  <r>
    <s v="SM-00483"/>
    <s v="Mission_483"/>
    <x v="2"/>
    <x v="1"/>
    <x v="457"/>
    <s v="Sriharikota"/>
    <x v="3"/>
    <x v="0"/>
    <x v="5"/>
    <n v="0"/>
    <n v="171"/>
    <n v="3987.11"/>
    <n v="42005"/>
    <x v="0"/>
    <x v="2"/>
    <s v="Sun-Synchronous"/>
    <n v="20"/>
    <n v="160.1"/>
  </r>
  <r>
    <s v="SM-00484"/>
    <s v="Mission_484"/>
    <x v="3"/>
    <x v="4"/>
    <x v="458"/>
    <s v="Kennedy"/>
    <x v="5"/>
    <x v="0"/>
    <x v="2"/>
    <n v="1"/>
    <n v="109"/>
    <n v="222"/>
    <n v="32792"/>
    <x v="0"/>
    <x v="2"/>
    <s v="Polar"/>
    <n v="13"/>
    <n v="233.45"/>
  </r>
  <r>
    <s v="SM-00485"/>
    <s v="Mission_485"/>
    <x v="6"/>
    <x v="3"/>
    <x v="459"/>
    <s v="Baikonur"/>
    <x v="0"/>
    <x v="4"/>
    <x v="2"/>
    <n v="3"/>
    <n v="638"/>
    <n v="437.21"/>
    <n v="21841"/>
    <x v="1"/>
    <x v="0"/>
    <s v="Sun-Synchronous"/>
    <n v="15"/>
    <n v="33.49"/>
  </r>
  <r>
    <s v="SM-00486"/>
    <s v="Mission_486"/>
    <x v="3"/>
    <x v="0"/>
    <x v="460"/>
    <s v="Kennedy"/>
    <x v="4"/>
    <x v="0"/>
    <x v="0"/>
    <n v="2"/>
    <n v="1439"/>
    <n v="160.11000000000001"/>
    <n v="28075"/>
    <x v="0"/>
    <x v="0"/>
    <s v="Polar"/>
    <n v="30"/>
    <n v="137.94"/>
  </r>
  <r>
    <s v="SM-00487"/>
    <s v="Mission_487"/>
    <x v="6"/>
    <x v="0"/>
    <x v="461"/>
    <s v="Kennedy"/>
    <x v="4"/>
    <x v="3"/>
    <x v="3"/>
    <n v="2"/>
    <n v="1325"/>
    <n v="839.73"/>
    <n v="47041"/>
    <x v="0"/>
    <x v="1"/>
    <s v="MEO"/>
    <n v="2"/>
    <n v="234.23"/>
  </r>
  <r>
    <s v="SM-00488"/>
    <s v="Mission_488"/>
    <x v="6"/>
    <x v="3"/>
    <x v="462"/>
    <s v="Baikonur"/>
    <x v="0"/>
    <x v="5"/>
    <x v="0"/>
    <n v="4"/>
    <n v="1332"/>
    <n v="814.13"/>
    <n v="27980"/>
    <x v="0"/>
    <x v="1"/>
    <s v="GEO"/>
    <n v="9"/>
    <n v="109.75"/>
  </r>
  <r>
    <s v="SM-00489"/>
    <s v="Mission_489"/>
    <x v="5"/>
    <x v="5"/>
    <x v="463"/>
    <s v="Sriharikota"/>
    <x v="0"/>
    <x v="3"/>
    <x v="5"/>
    <n v="4"/>
    <n v="555"/>
    <n v="1229"/>
    <n v="13998"/>
    <x v="2"/>
    <x v="1"/>
    <s v="Polar"/>
    <n v="3"/>
    <n v="75.180000000000007"/>
  </r>
  <r>
    <s v="SM-00490"/>
    <s v="Mission_490"/>
    <x v="4"/>
    <x v="2"/>
    <x v="464"/>
    <s v="Sriharikota"/>
    <x v="4"/>
    <x v="0"/>
    <x v="5"/>
    <n v="5"/>
    <n v="264"/>
    <n v="2749.48"/>
    <n v="38408"/>
    <x v="0"/>
    <x v="3"/>
    <s v="Sun-Synchronous"/>
    <n v="41"/>
    <n v="130.83000000000001"/>
  </r>
  <r>
    <s v="SM-00491"/>
    <s v="Mission_491"/>
    <x v="3"/>
    <x v="2"/>
    <x v="465"/>
    <s v="Baikonur"/>
    <x v="0"/>
    <x v="2"/>
    <x v="5"/>
    <n v="3"/>
    <n v="1443"/>
    <n v="2767.04"/>
    <n v="5412"/>
    <x v="2"/>
    <x v="2"/>
    <s v="MEO"/>
    <n v="8"/>
    <n v="81.819999999999993"/>
  </r>
  <r>
    <s v="SM-00492"/>
    <s v="Mission_492"/>
    <x v="1"/>
    <x v="2"/>
    <x v="466"/>
    <s v="Kourou"/>
    <x v="3"/>
    <x v="2"/>
    <x v="5"/>
    <n v="6"/>
    <n v="323"/>
    <n v="2087.7399999999998"/>
    <n v="29506"/>
    <x v="1"/>
    <x v="0"/>
    <s v="Transfer Orbit"/>
    <n v="8"/>
    <n v="143.74"/>
  </r>
  <r>
    <s v="SM-00493"/>
    <s v="Mission_493"/>
    <x v="2"/>
    <x v="2"/>
    <x v="467"/>
    <s v="Kennedy"/>
    <x v="5"/>
    <x v="3"/>
    <x v="5"/>
    <n v="8"/>
    <n v="42"/>
    <n v="1633.62"/>
    <n v="9349"/>
    <x v="0"/>
    <x v="3"/>
    <s v="LEO"/>
    <n v="42"/>
    <n v="24.96"/>
  </r>
  <r>
    <s v="SM-00494"/>
    <s v="Mission_494"/>
    <x v="6"/>
    <x v="1"/>
    <x v="468"/>
    <s v="Kourou"/>
    <x v="3"/>
    <x v="2"/>
    <x v="0"/>
    <n v="5"/>
    <n v="826"/>
    <n v="2600.67"/>
    <n v="8162"/>
    <x v="1"/>
    <x v="2"/>
    <s v="Polar"/>
    <n v="50"/>
    <n v="92.29"/>
  </r>
  <r>
    <s v="SM-00495"/>
    <s v="Mission_495"/>
    <x v="4"/>
    <x v="1"/>
    <x v="469"/>
    <s v="Baikonur"/>
    <x v="3"/>
    <x v="4"/>
    <x v="1"/>
    <n v="0"/>
    <n v="1449"/>
    <n v="4896.8999999999996"/>
    <n v="14091"/>
    <x v="0"/>
    <x v="2"/>
    <s v="Transfer Orbit"/>
    <n v="22"/>
    <n v="35.21"/>
  </r>
  <r>
    <s v="SM-00496"/>
    <s v="Mission_496"/>
    <x v="6"/>
    <x v="0"/>
    <x v="470"/>
    <s v="Baikonur"/>
    <x v="3"/>
    <x v="2"/>
    <x v="2"/>
    <n v="2"/>
    <n v="1146"/>
    <n v="3598.46"/>
    <n v="4376"/>
    <x v="2"/>
    <x v="0"/>
    <s v="GEO"/>
    <n v="17"/>
    <n v="225.32"/>
  </r>
  <r>
    <s v="SM-00497"/>
    <s v="Mission_497"/>
    <x v="3"/>
    <x v="1"/>
    <x v="471"/>
    <s v="Kourou"/>
    <x v="2"/>
    <x v="1"/>
    <x v="1"/>
    <n v="7"/>
    <n v="1072"/>
    <n v="3126.87"/>
    <n v="17804"/>
    <x v="2"/>
    <x v="1"/>
    <s v="Sun-Synchronous"/>
    <n v="37"/>
    <n v="9.09"/>
  </r>
  <r>
    <s v="SM-00498"/>
    <s v="Mission_498"/>
    <x v="3"/>
    <x v="5"/>
    <x v="472"/>
    <s v="Tanegashima"/>
    <x v="5"/>
    <x v="0"/>
    <x v="3"/>
    <n v="5"/>
    <n v="315"/>
    <n v="3347.23"/>
    <n v="15621"/>
    <x v="0"/>
    <x v="0"/>
    <s v="Polar"/>
    <n v="49"/>
    <n v="77.87"/>
  </r>
  <r>
    <s v="SM-00499"/>
    <s v="Mission_499"/>
    <x v="6"/>
    <x v="0"/>
    <x v="473"/>
    <s v="Kennedy"/>
    <x v="5"/>
    <x v="0"/>
    <x v="0"/>
    <n v="5"/>
    <n v="1255"/>
    <n v="4413.5600000000004"/>
    <n v="9644"/>
    <x v="0"/>
    <x v="2"/>
    <s v="MEO"/>
    <n v="35"/>
    <n v="113.08"/>
  </r>
  <r>
    <s v="SM-00500"/>
    <s v="Mission_500"/>
    <x v="6"/>
    <x v="5"/>
    <x v="474"/>
    <s v="Tanegashima"/>
    <x v="3"/>
    <x v="2"/>
    <x v="3"/>
    <n v="3"/>
    <n v="473"/>
    <n v="4619.3"/>
    <n v="2487"/>
    <x v="0"/>
    <x v="3"/>
    <s v="Polar"/>
    <n v="35"/>
    <n v="27"/>
  </r>
  <r>
    <s v="SM-00501"/>
    <s v="Mission_501"/>
    <x v="2"/>
    <x v="3"/>
    <x v="475"/>
    <s v="Tanegashima"/>
    <x v="0"/>
    <x v="0"/>
    <x v="5"/>
    <n v="2"/>
    <n v="812"/>
    <n v="3962.05"/>
    <n v="29567"/>
    <x v="2"/>
    <x v="2"/>
    <s v="GEO"/>
    <n v="4"/>
    <n v="205.11"/>
  </r>
  <r>
    <s v="SM-00502"/>
    <s v="Mission_502"/>
    <x v="0"/>
    <x v="2"/>
    <x v="476"/>
    <s v="Kennedy"/>
    <x v="3"/>
    <x v="3"/>
    <x v="1"/>
    <n v="4"/>
    <n v="1467"/>
    <n v="70.94"/>
    <n v="14804"/>
    <x v="0"/>
    <x v="0"/>
    <s v="Transfer Orbit"/>
    <n v="1"/>
    <n v="65.45"/>
  </r>
  <r>
    <s v="SM-00503"/>
    <s v="Mission_503"/>
    <x v="3"/>
    <x v="0"/>
    <x v="477"/>
    <s v="Sriharikota"/>
    <x v="5"/>
    <x v="0"/>
    <x v="4"/>
    <n v="7"/>
    <n v="1068"/>
    <n v="4327.91"/>
    <n v="35929"/>
    <x v="2"/>
    <x v="3"/>
    <s v="GEO"/>
    <n v="32"/>
    <n v="220.24"/>
  </r>
  <r>
    <s v="SM-00504"/>
    <s v="Mission_504"/>
    <x v="4"/>
    <x v="4"/>
    <x v="478"/>
    <s v="Kourou"/>
    <x v="4"/>
    <x v="0"/>
    <x v="5"/>
    <n v="0"/>
    <n v="1032"/>
    <n v="1576.62"/>
    <n v="10197"/>
    <x v="1"/>
    <x v="0"/>
    <s v="MEO"/>
    <n v="9"/>
    <n v="21.3"/>
  </r>
  <r>
    <s v="SM-00505"/>
    <s v="Mission_505"/>
    <x v="1"/>
    <x v="2"/>
    <x v="479"/>
    <s v="Jiuquan"/>
    <x v="0"/>
    <x v="2"/>
    <x v="0"/>
    <n v="7"/>
    <n v="76"/>
    <n v="3739.45"/>
    <n v="41812"/>
    <x v="0"/>
    <x v="3"/>
    <s v="GEO"/>
    <n v="7"/>
    <n v="135.57"/>
  </r>
  <r>
    <s v="SM-00506"/>
    <s v="Mission_506"/>
    <x v="3"/>
    <x v="5"/>
    <x v="480"/>
    <s v="Baikonur"/>
    <x v="5"/>
    <x v="3"/>
    <x v="3"/>
    <n v="5"/>
    <n v="394"/>
    <n v="1768.29"/>
    <n v="25746"/>
    <x v="0"/>
    <x v="0"/>
    <s v="Transfer Orbit"/>
    <n v="20"/>
    <n v="159.91999999999999"/>
  </r>
  <r>
    <s v="SM-00507"/>
    <s v="Mission_507"/>
    <x v="6"/>
    <x v="5"/>
    <x v="481"/>
    <s v="Kourou"/>
    <x v="4"/>
    <x v="0"/>
    <x v="0"/>
    <n v="0"/>
    <n v="260"/>
    <n v="298.17"/>
    <n v="23540"/>
    <x v="0"/>
    <x v="3"/>
    <s v="Transfer Orbit"/>
    <n v="34"/>
    <n v="65.2"/>
  </r>
  <r>
    <s v="SM-00508"/>
    <s v="Mission_508"/>
    <x v="3"/>
    <x v="1"/>
    <x v="482"/>
    <s v="Sriharikota"/>
    <x v="3"/>
    <x v="2"/>
    <x v="1"/>
    <n v="3"/>
    <n v="1074"/>
    <n v="2475.81"/>
    <n v="42999"/>
    <x v="1"/>
    <x v="2"/>
    <s v="LEO"/>
    <n v="31"/>
    <n v="90.88"/>
  </r>
  <r>
    <s v="SM-00509"/>
    <s v="Mission_509"/>
    <x v="4"/>
    <x v="5"/>
    <x v="483"/>
    <s v="Kennedy"/>
    <x v="4"/>
    <x v="1"/>
    <x v="5"/>
    <n v="7"/>
    <n v="435"/>
    <n v="3363.75"/>
    <n v="3782"/>
    <x v="0"/>
    <x v="3"/>
    <s v="MEO"/>
    <n v="41"/>
    <n v="205.66"/>
  </r>
  <r>
    <s v="SM-00510"/>
    <s v="Mission_510"/>
    <x v="6"/>
    <x v="1"/>
    <x v="458"/>
    <s v="Sriharikota"/>
    <x v="3"/>
    <x v="0"/>
    <x v="0"/>
    <n v="4"/>
    <n v="1423"/>
    <n v="4074.84"/>
    <n v="26475"/>
    <x v="1"/>
    <x v="1"/>
    <s v="Transfer Orbit"/>
    <n v="31"/>
    <n v="88.2"/>
  </r>
  <r>
    <s v="SM-00511"/>
    <s v="Mission_511"/>
    <x v="5"/>
    <x v="4"/>
    <x v="484"/>
    <s v="Baikonur"/>
    <x v="3"/>
    <x v="1"/>
    <x v="0"/>
    <n v="4"/>
    <n v="657"/>
    <n v="225.63"/>
    <n v="26543"/>
    <x v="2"/>
    <x v="0"/>
    <s v="MEO"/>
    <n v="45"/>
    <n v="34.71"/>
  </r>
  <r>
    <s v="SM-00512"/>
    <s v="Mission_512"/>
    <x v="4"/>
    <x v="3"/>
    <x v="485"/>
    <s v="Jiuquan"/>
    <x v="3"/>
    <x v="4"/>
    <x v="2"/>
    <n v="8"/>
    <n v="1429"/>
    <n v="2811.11"/>
    <n v="11195"/>
    <x v="1"/>
    <x v="0"/>
    <s v="MEO"/>
    <n v="29"/>
    <n v="144.19999999999999"/>
  </r>
  <r>
    <s v="SM-00513"/>
    <s v="Mission_513"/>
    <x v="5"/>
    <x v="2"/>
    <x v="486"/>
    <s v="Kennedy"/>
    <x v="3"/>
    <x v="1"/>
    <x v="4"/>
    <n v="4"/>
    <n v="123"/>
    <n v="4783.93"/>
    <n v="1940"/>
    <x v="1"/>
    <x v="1"/>
    <s v="LEO"/>
    <n v="43"/>
    <n v="228.66"/>
  </r>
  <r>
    <s v="SM-00514"/>
    <s v="Mission_514"/>
    <x v="3"/>
    <x v="3"/>
    <x v="487"/>
    <s v="Sriharikota"/>
    <x v="2"/>
    <x v="4"/>
    <x v="1"/>
    <n v="5"/>
    <n v="640"/>
    <n v="4741.1400000000003"/>
    <n v="8212"/>
    <x v="2"/>
    <x v="2"/>
    <s v="LEO"/>
    <n v="15"/>
    <n v="243.47"/>
  </r>
  <r>
    <s v="SM-00515"/>
    <s v="Mission_515"/>
    <x v="1"/>
    <x v="2"/>
    <x v="488"/>
    <s v="Kourou"/>
    <x v="3"/>
    <x v="2"/>
    <x v="3"/>
    <n v="1"/>
    <n v="866"/>
    <n v="4100.3100000000004"/>
    <n v="10480"/>
    <x v="2"/>
    <x v="0"/>
    <s v="MEO"/>
    <n v="28"/>
    <n v="247.48"/>
  </r>
  <r>
    <s v="SM-00516"/>
    <s v="Mission_516"/>
    <x v="6"/>
    <x v="5"/>
    <x v="489"/>
    <s v="Kourou"/>
    <x v="5"/>
    <x v="0"/>
    <x v="4"/>
    <n v="2"/>
    <n v="670"/>
    <n v="661.3"/>
    <n v="7603"/>
    <x v="2"/>
    <x v="1"/>
    <s v="Sun-Synchronous"/>
    <n v="25"/>
    <n v="5.47"/>
  </r>
  <r>
    <s v="SM-00517"/>
    <s v="Mission_517"/>
    <x v="1"/>
    <x v="5"/>
    <x v="490"/>
    <s v="Jiuquan"/>
    <x v="0"/>
    <x v="1"/>
    <x v="3"/>
    <n v="0"/>
    <n v="188"/>
    <n v="2856.84"/>
    <n v="29083"/>
    <x v="2"/>
    <x v="1"/>
    <s v="Polar"/>
    <n v="21"/>
    <n v="44.02"/>
  </r>
  <r>
    <s v="SM-00518"/>
    <s v="Mission_518"/>
    <x v="5"/>
    <x v="0"/>
    <x v="491"/>
    <s v="Tanegashima"/>
    <x v="4"/>
    <x v="2"/>
    <x v="4"/>
    <n v="5"/>
    <n v="259"/>
    <n v="1975.22"/>
    <n v="28507"/>
    <x v="2"/>
    <x v="1"/>
    <s v="GEO"/>
    <n v="11"/>
    <n v="225.83"/>
  </r>
  <r>
    <s v="SM-00519"/>
    <s v="Mission_519"/>
    <x v="2"/>
    <x v="1"/>
    <x v="492"/>
    <s v="Tanegashima"/>
    <x v="1"/>
    <x v="1"/>
    <x v="3"/>
    <n v="5"/>
    <n v="1404"/>
    <n v="3477.29"/>
    <n v="43091"/>
    <x v="0"/>
    <x v="3"/>
    <s v="MEO"/>
    <n v="7"/>
    <n v="70.540000000000006"/>
  </r>
  <r>
    <s v="SM-00520"/>
    <s v="Mission_520"/>
    <x v="4"/>
    <x v="5"/>
    <x v="23"/>
    <s v="Baikonur"/>
    <x v="2"/>
    <x v="3"/>
    <x v="3"/>
    <n v="2"/>
    <n v="1218"/>
    <n v="1080.8"/>
    <n v="26314"/>
    <x v="1"/>
    <x v="1"/>
    <s v="GEO"/>
    <n v="17"/>
    <n v="230.53"/>
  </r>
  <r>
    <s v="SM-00521"/>
    <s v="Mission_521"/>
    <x v="6"/>
    <x v="5"/>
    <x v="493"/>
    <s v="Jiuquan"/>
    <x v="2"/>
    <x v="1"/>
    <x v="1"/>
    <n v="8"/>
    <n v="437"/>
    <n v="2531.71"/>
    <n v="19149"/>
    <x v="2"/>
    <x v="1"/>
    <s v="Transfer Orbit"/>
    <n v="11"/>
    <n v="184.23"/>
  </r>
  <r>
    <s v="SM-00522"/>
    <s v="Mission_522"/>
    <x v="0"/>
    <x v="0"/>
    <x v="494"/>
    <s v="Baikonur"/>
    <x v="0"/>
    <x v="0"/>
    <x v="5"/>
    <n v="5"/>
    <n v="426"/>
    <n v="2789.03"/>
    <n v="29678"/>
    <x v="1"/>
    <x v="0"/>
    <s v="LEO"/>
    <n v="7"/>
    <n v="184.18"/>
  </r>
  <r>
    <s v="SM-00523"/>
    <s v="Mission_523"/>
    <x v="3"/>
    <x v="0"/>
    <x v="495"/>
    <s v="Kourou"/>
    <x v="1"/>
    <x v="0"/>
    <x v="0"/>
    <n v="6"/>
    <n v="741"/>
    <n v="4472.8100000000004"/>
    <n v="1951"/>
    <x v="1"/>
    <x v="0"/>
    <s v="Sun-Synchronous"/>
    <n v="10"/>
    <n v="157.63999999999999"/>
  </r>
  <r>
    <s v="SM-00524"/>
    <s v="Mission_524"/>
    <x v="3"/>
    <x v="0"/>
    <x v="496"/>
    <s v="Sriharikota"/>
    <x v="2"/>
    <x v="3"/>
    <x v="0"/>
    <n v="7"/>
    <n v="420"/>
    <n v="2869.45"/>
    <n v="36383"/>
    <x v="0"/>
    <x v="1"/>
    <s v="Sun-Synchronous"/>
    <n v="10"/>
    <n v="106.09"/>
  </r>
  <r>
    <s v="SM-00525"/>
    <s v="Mission_525"/>
    <x v="6"/>
    <x v="0"/>
    <x v="497"/>
    <s v="Baikonur"/>
    <x v="4"/>
    <x v="3"/>
    <x v="2"/>
    <n v="7"/>
    <n v="724"/>
    <n v="1330.02"/>
    <n v="12886"/>
    <x v="1"/>
    <x v="2"/>
    <s v="Polar"/>
    <n v="44"/>
    <n v="53.35"/>
  </r>
  <r>
    <s v="SM-00526"/>
    <s v="Mission_526"/>
    <x v="1"/>
    <x v="2"/>
    <x v="498"/>
    <s v="Tanegashima"/>
    <x v="5"/>
    <x v="2"/>
    <x v="1"/>
    <n v="6"/>
    <n v="976"/>
    <n v="3096.54"/>
    <n v="31543"/>
    <x v="1"/>
    <x v="1"/>
    <s v="LEO"/>
    <n v="26"/>
    <n v="74.66"/>
  </r>
  <r>
    <s v="SM-00527"/>
    <s v="Mission_527"/>
    <x v="4"/>
    <x v="3"/>
    <x v="499"/>
    <s v="Jiuquan"/>
    <x v="3"/>
    <x v="5"/>
    <x v="1"/>
    <n v="0"/>
    <n v="74"/>
    <n v="197.99"/>
    <n v="7181"/>
    <x v="1"/>
    <x v="1"/>
    <s v="Transfer Orbit"/>
    <n v="25"/>
    <n v="192.8"/>
  </r>
  <r>
    <s v="SM-00528"/>
    <s v="Mission_528"/>
    <x v="5"/>
    <x v="4"/>
    <x v="500"/>
    <s v="Kourou"/>
    <x v="3"/>
    <x v="5"/>
    <x v="2"/>
    <n v="6"/>
    <n v="495"/>
    <n v="2368.67"/>
    <n v="29980"/>
    <x v="1"/>
    <x v="0"/>
    <s v="MEO"/>
    <n v="43"/>
    <n v="108.53"/>
  </r>
  <r>
    <s v="SM-00529"/>
    <s v="Mission_529"/>
    <x v="4"/>
    <x v="5"/>
    <x v="501"/>
    <s v="Jiuquan"/>
    <x v="2"/>
    <x v="0"/>
    <x v="4"/>
    <n v="3"/>
    <n v="642"/>
    <n v="4268.12"/>
    <n v="28486"/>
    <x v="1"/>
    <x v="1"/>
    <s v="GEO"/>
    <n v="36"/>
    <n v="41.46"/>
  </r>
  <r>
    <s v="SM-00530"/>
    <s v="Mission_530"/>
    <x v="0"/>
    <x v="0"/>
    <x v="502"/>
    <s v="Kourou"/>
    <x v="1"/>
    <x v="4"/>
    <x v="3"/>
    <n v="5"/>
    <n v="1277"/>
    <n v="1804.63"/>
    <n v="48169"/>
    <x v="2"/>
    <x v="2"/>
    <s v="Sun-Synchronous"/>
    <n v="29"/>
    <n v="50.14"/>
  </r>
  <r>
    <s v="SM-00531"/>
    <s v="Mission_531"/>
    <x v="6"/>
    <x v="3"/>
    <x v="503"/>
    <s v="Kourou"/>
    <x v="1"/>
    <x v="1"/>
    <x v="4"/>
    <n v="6"/>
    <n v="564"/>
    <n v="2595.86"/>
    <n v="44665"/>
    <x v="0"/>
    <x v="1"/>
    <s v="MEO"/>
    <n v="20"/>
    <n v="133.63"/>
  </r>
  <r>
    <s v="SM-00532"/>
    <s v="Mission_532"/>
    <x v="5"/>
    <x v="4"/>
    <x v="504"/>
    <s v="Sriharikota"/>
    <x v="4"/>
    <x v="5"/>
    <x v="0"/>
    <n v="1"/>
    <n v="1212"/>
    <n v="2995.95"/>
    <n v="12738"/>
    <x v="0"/>
    <x v="3"/>
    <s v="Sun-Synchronous"/>
    <n v="36"/>
    <n v="126.18"/>
  </r>
  <r>
    <s v="SM-00533"/>
    <s v="Mission_533"/>
    <x v="4"/>
    <x v="4"/>
    <x v="505"/>
    <s v="Kourou"/>
    <x v="2"/>
    <x v="3"/>
    <x v="5"/>
    <n v="4"/>
    <n v="1146"/>
    <n v="3324.19"/>
    <n v="29531"/>
    <x v="0"/>
    <x v="3"/>
    <s v="LEO"/>
    <n v="38"/>
    <n v="190.18"/>
  </r>
  <r>
    <s v="SM-00534"/>
    <s v="Mission_534"/>
    <x v="3"/>
    <x v="4"/>
    <x v="506"/>
    <s v="Kennedy"/>
    <x v="0"/>
    <x v="4"/>
    <x v="0"/>
    <n v="3"/>
    <n v="611"/>
    <n v="4114.17"/>
    <n v="33787"/>
    <x v="0"/>
    <x v="2"/>
    <s v="Transfer Orbit"/>
    <n v="6"/>
    <n v="151.30000000000001"/>
  </r>
  <r>
    <s v="SM-00535"/>
    <s v="Mission_535"/>
    <x v="2"/>
    <x v="3"/>
    <x v="507"/>
    <s v="Kennedy"/>
    <x v="2"/>
    <x v="4"/>
    <x v="5"/>
    <n v="1"/>
    <n v="192"/>
    <n v="3210.86"/>
    <n v="34848"/>
    <x v="0"/>
    <x v="2"/>
    <s v="GEO"/>
    <n v="11"/>
    <n v="192.26"/>
  </r>
  <r>
    <s v="SM-00536"/>
    <s v="Mission_536"/>
    <x v="6"/>
    <x v="3"/>
    <x v="508"/>
    <s v="Sriharikota"/>
    <x v="4"/>
    <x v="0"/>
    <x v="3"/>
    <n v="2"/>
    <n v="68"/>
    <n v="4925.18"/>
    <n v="3897"/>
    <x v="2"/>
    <x v="0"/>
    <s v="Polar"/>
    <n v="7"/>
    <n v="178.3"/>
  </r>
  <r>
    <s v="SM-00537"/>
    <s v="Mission_537"/>
    <x v="0"/>
    <x v="5"/>
    <x v="509"/>
    <s v="Kennedy"/>
    <x v="4"/>
    <x v="5"/>
    <x v="4"/>
    <n v="2"/>
    <n v="1230"/>
    <n v="352.89"/>
    <n v="8242"/>
    <x v="2"/>
    <x v="1"/>
    <s v="Polar"/>
    <n v="7"/>
    <n v="81.7"/>
  </r>
  <r>
    <s v="SM-00538"/>
    <s v="Mission_538"/>
    <x v="6"/>
    <x v="4"/>
    <x v="510"/>
    <s v="Kourou"/>
    <x v="2"/>
    <x v="2"/>
    <x v="3"/>
    <n v="7"/>
    <n v="127"/>
    <n v="2290.9699999999998"/>
    <n v="4516"/>
    <x v="2"/>
    <x v="3"/>
    <s v="Polar"/>
    <n v="29"/>
    <n v="213.96"/>
  </r>
  <r>
    <s v="SM-00539"/>
    <s v="Mission_539"/>
    <x v="3"/>
    <x v="1"/>
    <x v="511"/>
    <s v="Jiuquan"/>
    <x v="4"/>
    <x v="4"/>
    <x v="2"/>
    <n v="8"/>
    <n v="10"/>
    <n v="4100.0200000000004"/>
    <n v="48613"/>
    <x v="1"/>
    <x v="2"/>
    <s v="Transfer Orbit"/>
    <n v="40"/>
    <n v="235.7"/>
  </r>
  <r>
    <s v="SM-00540"/>
    <s v="Mission_540"/>
    <x v="1"/>
    <x v="0"/>
    <x v="512"/>
    <s v="Kourou"/>
    <x v="2"/>
    <x v="2"/>
    <x v="1"/>
    <n v="5"/>
    <n v="306"/>
    <n v="816.24"/>
    <n v="21487"/>
    <x v="1"/>
    <x v="1"/>
    <s v="Polar"/>
    <n v="13"/>
    <n v="75.84"/>
  </r>
  <r>
    <s v="SM-00541"/>
    <s v="Mission_541"/>
    <x v="3"/>
    <x v="5"/>
    <x v="513"/>
    <s v="Kourou"/>
    <x v="2"/>
    <x v="4"/>
    <x v="1"/>
    <n v="2"/>
    <n v="1330"/>
    <n v="170.13"/>
    <n v="1383"/>
    <x v="2"/>
    <x v="1"/>
    <s v="MEO"/>
    <n v="24"/>
    <n v="29"/>
  </r>
  <r>
    <s v="SM-00542"/>
    <s v="Mission_542"/>
    <x v="3"/>
    <x v="1"/>
    <x v="514"/>
    <s v="Kennedy"/>
    <x v="5"/>
    <x v="1"/>
    <x v="3"/>
    <n v="7"/>
    <n v="1411"/>
    <n v="4825.84"/>
    <n v="24718"/>
    <x v="0"/>
    <x v="2"/>
    <s v="LEO"/>
    <n v="42"/>
    <n v="89.98"/>
  </r>
  <r>
    <s v="SM-00543"/>
    <s v="Mission_543"/>
    <x v="5"/>
    <x v="4"/>
    <x v="515"/>
    <s v="Kourou"/>
    <x v="2"/>
    <x v="1"/>
    <x v="5"/>
    <n v="3"/>
    <n v="1230"/>
    <n v="1796.81"/>
    <n v="1561"/>
    <x v="1"/>
    <x v="0"/>
    <s v="MEO"/>
    <n v="40"/>
    <n v="204.04"/>
  </r>
  <r>
    <s v="SM-00544"/>
    <s v="Mission_544"/>
    <x v="3"/>
    <x v="3"/>
    <x v="516"/>
    <s v="Sriharikota"/>
    <x v="0"/>
    <x v="0"/>
    <x v="4"/>
    <n v="6"/>
    <n v="180"/>
    <n v="2801.24"/>
    <n v="34004"/>
    <x v="0"/>
    <x v="0"/>
    <s v="Polar"/>
    <n v="3"/>
    <n v="97.21"/>
  </r>
  <r>
    <s v="SM-00545"/>
    <s v="Mission_545"/>
    <x v="4"/>
    <x v="5"/>
    <x v="517"/>
    <s v="Kourou"/>
    <x v="1"/>
    <x v="0"/>
    <x v="4"/>
    <n v="5"/>
    <n v="1332"/>
    <n v="2080.98"/>
    <n v="27977"/>
    <x v="0"/>
    <x v="2"/>
    <s v="MEO"/>
    <n v="28"/>
    <n v="152.79"/>
  </r>
  <r>
    <s v="SM-00546"/>
    <s v="Mission_546"/>
    <x v="1"/>
    <x v="2"/>
    <x v="518"/>
    <s v="Baikonur"/>
    <x v="4"/>
    <x v="0"/>
    <x v="4"/>
    <n v="0"/>
    <n v="718"/>
    <n v="1308.5899999999999"/>
    <n v="27287"/>
    <x v="0"/>
    <x v="0"/>
    <s v="GEO"/>
    <n v="22"/>
    <n v="202.36"/>
  </r>
  <r>
    <s v="SM-00547"/>
    <s v="Mission_547"/>
    <x v="0"/>
    <x v="5"/>
    <x v="519"/>
    <s v="Kourou"/>
    <x v="5"/>
    <x v="5"/>
    <x v="3"/>
    <n v="1"/>
    <n v="770"/>
    <n v="3415.29"/>
    <n v="8039"/>
    <x v="2"/>
    <x v="2"/>
    <s v="GEO"/>
    <n v="36"/>
    <n v="72.98"/>
  </r>
  <r>
    <s v="SM-00548"/>
    <s v="Mission_548"/>
    <x v="4"/>
    <x v="3"/>
    <x v="520"/>
    <s v="Baikonur"/>
    <x v="3"/>
    <x v="2"/>
    <x v="1"/>
    <n v="1"/>
    <n v="1248"/>
    <n v="633.58000000000004"/>
    <n v="12284"/>
    <x v="1"/>
    <x v="3"/>
    <s v="Sun-Synchronous"/>
    <n v="32"/>
    <n v="197.69"/>
  </r>
  <r>
    <s v="SM-00549"/>
    <s v="Mission_549"/>
    <x v="6"/>
    <x v="2"/>
    <x v="521"/>
    <s v="Baikonur"/>
    <x v="4"/>
    <x v="1"/>
    <x v="0"/>
    <n v="8"/>
    <n v="712"/>
    <n v="2374.65"/>
    <n v="34713"/>
    <x v="0"/>
    <x v="2"/>
    <s v="MEO"/>
    <n v="48"/>
    <n v="176.37"/>
  </r>
  <r>
    <s v="SM-00550"/>
    <s v="Mission_550"/>
    <x v="6"/>
    <x v="4"/>
    <x v="522"/>
    <s v="Sriharikota"/>
    <x v="4"/>
    <x v="4"/>
    <x v="3"/>
    <n v="5"/>
    <n v="1086"/>
    <n v="1544.42"/>
    <n v="18195"/>
    <x v="1"/>
    <x v="0"/>
    <s v="GEO"/>
    <n v="21"/>
    <n v="217.22"/>
  </r>
  <r>
    <s v="SM-00551"/>
    <s v="Mission_551"/>
    <x v="1"/>
    <x v="5"/>
    <x v="523"/>
    <s v="Tanegashima"/>
    <x v="1"/>
    <x v="4"/>
    <x v="3"/>
    <n v="2"/>
    <n v="1116"/>
    <n v="4986.34"/>
    <n v="45141"/>
    <x v="1"/>
    <x v="1"/>
    <s v="Sun-Synchronous"/>
    <n v="11"/>
    <n v="155.55000000000001"/>
  </r>
  <r>
    <s v="SM-00552"/>
    <s v="Mission_552"/>
    <x v="5"/>
    <x v="0"/>
    <x v="524"/>
    <s v="Baikonur"/>
    <x v="2"/>
    <x v="1"/>
    <x v="3"/>
    <n v="7"/>
    <n v="597"/>
    <n v="3715.6"/>
    <n v="9722"/>
    <x v="1"/>
    <x v="0"/>
    <s v="LEO"/>
    <n v="8"/>
    <n v="87.8"/>
  </r>
  <r>
    <s v="SM-00553"/>
    <s v="Mission_553"/>
    <x v="5"/>
    <x v="1"/>
    <x v="525"/>
    <s v="Jiuquan"/>
    <x v="4"/>
    <x v="4"/>
    <x v="1"/>
    <n v="3"/>
    <n v="799"/>
    <n v="2042.82"/>
    <n v="45293"/>
    <x v="2"/>
    <x v="1"/>
    <s v="GEO"/>
    <n v="11"/>
    <n v="95.98"/>
  </r>
  <r>
    <s v="SM-00554"/>
    <s v="Mission_554"/>
    <x v="5"/>
    <x v="5"/>
    <x v="526"/>
    <s v="Tanegashima"/>
    <x v="5"/>
    <x v="1"/>
    <x v="5"/>
    <n v="4"/>
    <n v="28"/>
    <n v="418.57"/>
    <n v="2773"/>
    <x v="0"/>
    <x v="1"/>
    <s v="GEO"/>
    <n v="49"/>
    <n v="163.92"/>
  </r>
  <r>
    <s v="SM-00555"/>
    <s v="Mission_555"/>
    <x v="4"/>
    <x v="5"/>
    <x v="527"/>
    <s v="Kennedy"/>
    <x v="0"/>
    <x v="3"/>
    <x v="2"/>
    <n v="6"/>
    <n v="1414"/>
    <n v="2062.02"/>
    <n v="31338"/>
    <x v="1"/>
    <x v="2"/>
    <s v="MEO"/>
    <n v="21"/>
    <n v="61.15"/>
  </r>
  <r>
    <s v="SM-00556"/>
    <s v="Mission_556"/>
    <x v="4"/>
    <x v="4"/>
    <x v="528"/>
    <s v="Jiuquan"/>
    <x v="1"/>
    <x v="5"/>
    <x v="3"/>
    <n v="6"/>
    <n v="1051"/>
    <n v="4950.28"/>
    <n v="16448"/>
    <x v="0"/>
    <x v="2"/>
    <s v="LEO"/>
    <n v="12"/>
    <n v="59.6"/>
  </r>
  <r>
    <s v="SM-00557"/>
    <s v="Mission_557"/>
    <x v="0"/>
    <x v="2"/>
    <x v="529"/>
    <s v="Jiuquan"/>
    <x v="0"/>
    <x v="1"/>
    <x v="2"/>
    <n v="5"/>
    <n v="138"/>
    <n v="842.26"/>
    <n v="26056"/>
    <x v="2"/>
    <x v="2"/>
    <s v="Polar"/>
    <n v="41"/>
    <n v="209.33"/>
  </r>
  <r>
    <s v="SM-00558"/>
    <s v="Mission_558"/>
    <x v="6"/>
    <x v="5"/>
    <x v="530"/>
    <s v="Tanegashima"/>
    <x v="5"/>
    <x v="2"/>
    <x v="4"/>
    <n v="3"/>
    <n v="5"/>
    <n v="2894.55"/>
    <n v="1315"/>
    <x v="1"/>
    <x v="2"/>
    <s v="LEO"/>
    <n v="48"/>
    <n v="198.23"/>
  </r>
  <r>
    <s v="SM-00559"/>
    <s v="Mission_559"/>
    <x v="6"/>
    <x v="4"/>
    <x v="531"/>
    <s v="Baikonur"/>
    <x v="0"/>
    <x v="0"/>
    <x v="1"/>
    <n v="5"/>
    <n v="991"/>
    <n v="2209.5"/>
    <n v="3330"/>
    <x v="1"/>
    <x v="0"/>
    <s v="GEO"/>
    <n v="29"/>
    <n v="59.25"/>
  </r>
  <r>
    <s v="SM-00560"/>
    <s v="Mission_560"/>
    <x v="2"/>
    <x v="0"/>
    <x v="532"/>
    <s v="Tanegashima"/>
    <x v="2"/>
    <x v="3"/>
    <x v="3"/>
    <n v="6"/>
    <n v="867"/>
    <n v="2167.96"/>
    <n v="45631"/>
    <x v="2"/>
    <x v="0"/>
    <s v="MEO"/>
    <n v="22"/>
    <n v="74.989999999999995"/>
  </r>
  <r>
    <s v="SM-00561"/>
    <s v="Mission_561"/>
    <x v="6"/>
    <x v="5"/>
    <x v="533"/>
    <s v="Sriharikota"/>
    <x v="1"/>
    <x v="4"/>
    <x v="0"/>
    <n v="8"/>
    <n v="780"/>
    <n v="1153.82"/>
    <n v="6866"/>
    <x v="1"/>
    <x v="2"/>
    <s v="LEO"/>
    <n v="33"/>
    <n v="160.69"/>
  </r>
  <r>
    <s v="SM-00562"/>
    <s v="Mission_562"/>
    <x v="0"/>
    <x v="1"/>
    <x v="534"/>
    <s v="Kourou"/>
    <x v="2"/>
    <x v="5"/>
    <x v="4"/>
    <n v="8"/>
    <n v="1057"/>
    <n v="2089.48"/>
    <n v="25390"/>
    <x v="0"/>
    <x v="1"/>
    <s v="MEO"/>
    <n v="18"/>
    <n v="24.59"/>
  </r>
  <r>
    <s v="SM-00563"/>
    <s v="Mission_563"/>
    <x v="6"/>
    <x v="5"/>
    <x v="535"/>
    <s v="Kourou"/>
    <x v="1"/>
    <x v="0"/>
    <x v="4"/>
    <n v="0"/>
    <n v="875"/>
    <n v="3669.32"/>
    <n v="15406"/>
    <x v="1"/>
    <x v="2"/>
    <s v="MEO"/>
    <n v="17"/>
    <n v="71.09"/>
  </r>
  <r>
    <s v="SM-00564"/>
    <s v="Mission_564"/>
    <x v="3"/>
    <x v="5"/>
    <x v="536"/>
    <s v="Baikonur"/>
    <x v="0"/>
    <x v="1"/>
    <x v="4"/>
    <n v="3"/>
    <n v="845"/>
    <n v="3977.6"/>
    <n v="34399"/>
    <x v="1"/>
    <x v="1"/>
    <s v="GEO"/>
    <n v="9"/>
    <n v="119.86"/>
  </r>
  <r>
    <s v="SM-00565"/>
    <s v="Mission_565"/>
    <x v="0"/>
    <x v="4"/>
    <x v="537"/>
    <s v="Kourou"/>
    <x v="1"/>
    <x v="0"/>
    <x v="0"/>
    <n v="7"/>
    <n v="1061"/>
    <n v="2949.91"/>
    <n v="5717"/>
    <x v="0"/>
    <x v="3"/>
    <s v="LEO"/>
    <n v="46"/>
    <n v="186.48"/>
  </r>
  <r>
    <s v="SM-00566"/>
    <s v="Mission_566"/>
    <x v="3"/>
    <x v="3"/>
    <x v="538"/>
    <s v="Tanegashima"/>
    <x v="3"/>
    <x v="3"/>
    <x v="3"/>
    <n v="3"/>
    <n v="623"/>
    <n v="2596.42"/>
    <n v="44718"/>
    <x v="1"/>
    <x v="3"/>
    <s v="LEO"/>
    <n v="32"/>
    <n v="177.27"/>
  </r>
  <r>
    <s v="SM-00567"/>
    <s v="Mission_567"/>
    <x v="4"/>
    <x v="4"/>
    <x v="539"/>
    <s v="Sriharikota"/>
    <x v="2"/>
    <x v="0"/>
    <x v="5"/>
    <n v="1"/>
    <n v="348"/>
    <n v="3485.52"/>
    <n v="21918"/>
    <x v="1"/>
    <x v="2"/>
    <s v="MEO"/>
    <n v="45"/>
    <n v="102.69"/>
  </r>
  <r>
    <s v="SM-00568"/>
    <s v="Mission_568"/>
    <x v="1"/>
    <x v="1"/>
    <x v="540"/>
    <s v="Jiuquan"/>
    <x v="5"/>
    <x v="2"/>
    <x v="1"/>
    <n v="2"/>
    <n v="671"/>
    <n v="4607.5600000000004"/>
    <n v="27856"/>
    <x v="2"/>
    <x v="1"/>
    <s v="LEO"/>
    <n v="25"/>
    <n v="230.27"/>
  </r>
  <r>
    <s v="SM-00569"/>
    <s v="Mission_569"/>
    <x v="6"/>
    <x v="1"/>
    <x v="541"/>
    <s v="Kourou"/>
    <x v="3"/>
    <x v="5"/>
    <x v="0"/>
    <n v="8"/>
    <n v="608"/>
    <n v="3438.4"/>
    <n v="34343"/>
    <x v="1"/>
    <x v="3"/>
    <s v="MEO"/>
    <n v="21"/>
    <n v="148.38999999999999"/>
  </r>
  <r>
    <s v="SM-00570"/>
    <s v="Mission_570"/>
    <x v="1"/>
    <x v="4"/>
    <x v="542"/>
    <s v="Kennedy"/>
    <x v="3"/>
    <x v="1"/>
    <x v="5"/>
    <n v="2"/>
    <n v="730"/>
    <n v="4251.16"/>
    <n v="15962"/>
    <x v="2"/>
    <x v="0"/>
    <s v="LEO"/>
    <n v="47"/>
    <n v="41.7"/>
  </r>
  <r>
    <s v="SM-00571"/>
    <s v="Mission_571"/>
    <x v="5"/>
    <x v="0"/>
    <x v="492"/>
    <s v="Kourou"/>
    <x v="2"/>
    <x v="5"/>
    <x v="0"/>
    <n v="2"/>
    <n v="148"/>
    <n v="2934.71"/>
    <n v="2524"/>
    <x v="0"/>
    <x v="3"/>
    <s v="Transfer Orbit"/>
    <n v="44"/>
    <n v="56.65"/>
  </r>
  <r>
    <s v="SM-00572"/>
    <s v="Mission_572"/>
    <x v="1"/>
    <x v="5"/>
    <x v="543"/>
    <s v="Sriharikota"/>
    <x v="4"/>
    <x v="5"/>
    <x v="3"/>
    <n v="1"/>
    <n v="364"/>
    <n v="1011.26"/>
    <n v="7486"/>
    <x v="0"/>
    <x v="1"/>
    <s v="Sun-Synchronous"/>
    <n v="37"/>
    <n v="156.66"/>
  </r>
  <r>
    <s v="SM-00573"/>
    <s v="Mission_573"/>
    <x v="1"/>
    <x v="5"/>
    <x v="544"/>
    <s v="Kennedy"/>
    <x v="1"/>
    <x v="4"/>
    <x v="4"/>
    <n v="1"/>
    <n v="580"/>
    <n v="2094.0500000000002"/>
    <n v="6723"/>
    <x v="1"/>
    <x v="0"/>
    <s v="LEO"/>
    <n v="49"/>
    <n v="32.49"/>
  </r>
  <r>
    <s v="SM-00574"/>
    <s v="Mission_574"/>
    <x v="3"/>
    <x v="3"/>
    <x v="545"/>
    <s v="Baikonur"/>
    <x v="3"/>
    <x v="3"/>
    <x v="0"/>
    <n v="8"/>
    <n v="84"/>
    <n v="232.54"/>
    <n v="13615"/>
    <x v="0"/>
    <x v="3"/>
    <s v="GEO"/>
    <n v="47"/>
    <n v="190.54"/>
  </r>
  <r>
    <s v="SM-00575"/>
    <s v="Mission_575"/>
    <x v="3"/>
    <x v="3"/>
    <x v="546"/>
    <s v="Kennedy"/>
    <x v="0"/>
    <x v="1"/>
    <x v="4"/>
    <n v="5"/>
    <n v="344"/>
    <n v="4545.63"/>
    <n v="43045"/>
    <x v="1"/>
    <x v="2"/>
    <s v="Transfer Orbit"/>
    <n v="37"/>
    <n v="83.06"/>
  </r>
  <r>
    <s v="SM-00576"/>
    <s v="Mission_576"/>
    <x v="6"/>
    <x v="0"/>
    <x v="547"/>
    <s v="Tanegashima"/>
    <x v="4"/>
    <x v="2"/>
    <x v="0"/>
    <n v="2"/>
    <n v="1395"/>
    <n v="229.28"/>
    <n v="1441"/>
    <x v="0"/>
    <x v="3"/>
    <s v="Sun-Synchronous"/>
    <n v="26"/>
    <n v="116.89"/>
  </r>
  <r>
    <s v="SM-00577"/>
    <s v="Mission_577"/>
    <x v="0"/>
    <x v="3"/>
    <x v="548"/>
    <s v="Tanegashima"/>
    <x v="3"/>
    <x v="3"/>
    <x v="5"/>
    <n v="3"/>
    <n v="1367"/>
    <n v="3766.87"/>
    <n v="30438"/>
    <x v="0"/>
    <x v="1"/>
    <s v="MEO"/>
    <n v="44"/>
    <n v="140.33000000000001"/>
  </r>
  <r>
    <s v="SM-00578"/>
    <s v="Mission_578"/>
    <x v="0"/>
    <x v="5"/>
    <x v="549"/>
    <s v="Jiuquan"/>
    <x v="3"/>
    <x v="0"/>
    <x v="2"/>
    <n v="1"/>
    <n v="1267"/>
    <n v="1311.95"/>
    <n v="16936"/>
    <x v="1"/>
    <x v="0"/>
    <s v="LEO"/>
    <n v="25"/>
    <n v="7.17"/>
  </r>
  <r>
    <s v="SM-00579"/>
    <s v="Mission_579"/>
    <x v="4"/>
    <x v="3"/>
    <x v="550"/>
    <s v="Kourou"/>
    <x v="2"/>
    <x v="1"/>
    <x v="3"/>
    <n v="4"/>
    <n v="935"/>
    <n v="3274.48"/>
    <n v="25410"/>
    <x v="1"/>
    <x v="3"/>
    <s v="LEO"/>
    <n v="37"/>
    <n v="127.61"/>
  </r>
  <r>
    <s v="SM-00580"/>
    <s v="Mission_580"/>
    <x v="5"/>
    <x v="2"/>
    <x v="551"/>
    <s v="Sriharikota"/>
    <x v="2"/>
    <x v="1"/>
    <x v="5"/>
    <n v="2"/>
    <n v="1135"/>
    <n v="4643.1499999999996"/>
    <n v="41243"/>
    <x v="1"/>
    <x v="1"/>
    <s v="LEO"/>
    <n v="35"/>
    <n v="20.71"/>
  </r>
  <r>
    <s v="SM-00581"/>
    <s v="Mission_581"/>
    <x v="4"/>
    <x v="4"/>
    <x v="552"/>
    <s v="Baikonur"/>
    <x v="2"/>
    <x v="5"/>
    <x v="2"/>
    <n v="3"/>
    <n v="651"/>
    <n v="3947.96"/>
    <n v="10224"/>
    <x v="0"/>
    <x v="3"/>
    <s v="Transfer Orbit"/>
    <n v="25"/>
    <n v="31.55"/>
  </r>
  <r>
    <s v="SM-00582"/>
    <s v="Mission_582"/>
    <x v="1"/>
    <x v="2"/>
    <x v="124"/>
    <s v="Kourou"/>
    <x v="0"/>
    <x v="0"/>
    <x v="1"/>
    <n v="3"/>
    <n v="60"/>
    <n v="2658"/>
    <n v="12945"/>
    <x v="1"/>
    <x v="2"/>
    <s v="GEO"/>
    <n v="11"/>
    <n v="37.36"/>
  </r>
  <r>
    <s v="SM-00583"/>
    <s v="Mission_583"/>
    <x v="6"/>
    <x v="3"/>
    <x v="553"/>
    <s v="Tanegashima"/>
    <x v="0"/>
    <x v="3"/>
    <x v="5"/>
    <n v="7"/>
    <n v="427"/>
    <n v="4527.6899999999996"/>
    <n v="30329"/>
    <x v="1"/>
    <x v="0"/>
    <s v="Sun-Synchronous"/>
    <n v="46"/>
    <n v="134.31"/>
  </r>
  <r>
    <s v="SM-00584"/>
    <s v="Mission_584"/>
    <x v="2"/>
    <x v="1"/>
    <x v="554"/>
    <s v="Sriharikota"/>
    <x v="0"/>
    <x v="5"/>
    <x v="0"/>
    <n v="1"/>
    <n v="107"/>
    <n v="191.26"/>
    <n v="26124"/>
    <x v="2"/>
    <x v="0"/>
    <s v="Sun-Synchronous"/>
    <n v="37"/>
    <n v="37.36"/>
  </r>
  <r>
    <s v="SM-00585"/>
    <s v="Mission_585"/>
    <x v="1"/>
    <x v="1"/>
    <x v="555"/>
    <s v="Tanegashima"/>
    <x v="3"/>
    <x v="4"/>
    <x v="0"/>
    <n v="6"/>
    <n v="1117"/>
    <n v="345.54"/>
    <n v="22871"/>
    <x v="0"/>
    <x v="1"/>
    <s v="Polar"/>
    <n v="39"/>
    <n v="107.83"/>
  </r>
  <r>
    <s v="SM-00586"/>
    <s v="Mission_586"/>
    <x v="5"/>
    <x v="4"/>
    <x v="556"/>
    <s v="Kourou"/>
    <x v="4"/>
    <x v="2"/>
    <x v="2"/>
    <n v="1"/>
    <n v="1069"/>
    <n v="1971.13"/>
    <n v="10614"/>
    <x v="2"/>
    <x v="2"/>
    <s v="Sun-Synchronous"/>
    <n v="1"/>
    <n v="3.72"/>
  </r>
  <r>
    <s v="SM-00587"/>
    <s v="Mission_587"/>
    <x v="3"/>
    <x v="3"/>
    <x v="557"/>
    <s v="Baikonur"/>
    <x v="2"/>
    <x v="0"/>
    <x v="2"/>
    <n v="6"/>
    <n v="925"/>
    <n v="2776.79"/>
    <n v="27973"/>
    <x v="1"/>
    <x v="0"/>
    <s v="GEO"/>
    <n v="14"/>
    <n v="194.47"/>
  </r>
  <r>
    <s v="SM-00588"/>
    <s v="Mission_588"/>
    <x v="5"/>
    <x v="3"/>
    <x v="558"/>
    <s v="Kennedy"/>
    <x v="4"/>
    <x v="0"/>
    <x v="1"/>
    <n v="1"/>
    <n v="433"/>
    <n v="2263.02"/>
    <n v="24964"/>
    <x v="1"/>
    <x v="3"/>
    <s v="Polar"/>
    <n v="19"/>
    <n v="80.77"/>
  </r>
  <r>
    <s v="SM-00589"/>
    <s v="Mission_589"/>
    <x v="1"/>
    <x v="4"/>
    <x v="559"/>
    <s v="Jiuquan"/>
    <x v="1"/>
    <x v="2"/>
    <x v="2"/>
    <n v="8"/>
    <n v="248"/>
    <n v="4821.66"/>
    <n v="11783"/>
    <x v="1"/>
    <x v="1"/>
    <s v="Polar"/>
    <n v="48"/>
    <n v="242.83"/>
  </r>
  <r>
    <s v="SM-00590"/>
    <s v="Mission_590"/>
    <x v="2"/>
    <x v="3"/>
    <x v="560"/>
    <s v="Baikonur"/>
    <x v="4"/>
    <x v="0"/>
    <x v="0"/>
    <n v="2"/>
    <n v="810"/>
    <n v="1720.67"/>
    <n v="39652"/>
    <x v="2"/>
    <x v="0"/>
    <s v="Transfer Orbit"/>
    <n v="1"/>
    <n v="237.4"/>
  </r>
  <r>
    <s v="SM-00591"/>
    <s v="Mission_591"/>
    <x v="4"/>
    <x v="4"/>
    <x v="561"/>
    <s v="Kourou"/>
    <x v="0"/>
    <x v="5"/>
    <x v="3"/>
    <n v="0"/>
    <n v="548"/>
    <n v="3982.65"/>
    <n v="40870"/>
    <x v="1"/>
    <x v="1"/>
    <s v="MEO"/>
    <n v="30"/>
    <n v="16.53"/>
  </r>
  <r>
    <s v="SM-00592"/>
    <s v="Mission_592"/>
    <x v="1"/>
    <x v="5"/>
    <x v="562"/>
    <s v="Tanegashima"/>
    <x v="5"/>
    <x v="2"/>
    <x v="0"/>
    <n v="7"/>
    <n v="838"/>
    <n v="4508.95"/>
    <n v="47271"/>
    <x v="1"/>
    <x v="3"/>
    <s v="Sun-Synchronous"/>
    <n v="35"/>
    <n v="135.22999999999999"/>
  </r>
  <r>
    <s v="SM-00593"/>
    <s v="Mission_593"/>
    <x v="5"/>
    <x v="0"/>
    <x v="563"/>
    <s v="Jiuquan"/>
    <x v="5"/>
    <x v="2"/>
    <x v="3"/>
    <n v="6"/>
    <n v="1345"/>
    <n v="1045.93"/>
    <n v="34484"/>
    <x v="0"/>
    <x v="1"/>
    <s v="Sun-Synchronous"/>
    <n v="19"/>
    <n v="35.94"/>
  </r>
  <r>
    <s v="SM-00594"/>
    <s v="Mission_594"/>
    <x v="2"/>
    <x v="4"/>
    <x v="564"/>
    <s v="Jiuquan"/>
    <x v="3"/>
    <x v="2"/>
    <x v="2"/>
    <n v="7"/>
    <n v="493"/>
    <n v="2591.34"/>
    <n v="39491"/>
    <x v="0"/>
    <x v="0"/>
    <s v="LEO"/>
    <n v="15"/>
    <n v="43.22"/>
  </r>
  <r>
    <s v="SM-00595"/>
    <s v="Mission_595"/>
    <x v="0"/>
    <x v="2"/>
    <x v="565"/>
    <s v="Kourou"/>
    <x v="0"/>
    <x v="4"/>
    <x v="1"/>
    <n v="2"/>
    <n v="655"/>
    <n v="409.98"/>
    <n v="48837"/>
    <x v="1"/>
    <x v="2"/>
    <s v="GEO"/>
    <n v="45"/>
    <n v="180.46"/>
  </r>
  <r>
    <s v="SM-00596"/>
    <s v="Mission_596"/>
    <x v="0"/>
    <x v="4"/>
    <x v="566"/>
    <s v="Kourou"/>
    <x v="2"/>
    <x v="2"/>
    <x v="2"/>
    <n v="6"/>
    <n v="1182"/>
    <n v="2890.64"/>
    <n v="47588"/>
    <x v="0"/>
    <x v="2"/>
    <s v="Sun-Synchronous"/>
    <n v="18"/>
    <n v="64.709999999999994"/>
  </r>
  <r>
    <s v="SM-00597"/>
    <s v="Mission_597"/>
    <x v="6"/>
    <x v="1"/>
    <x v="567"/>
    <s v="Tanegashima"/>
    <x v="5"/>
    <x v="5"/>
    <x v="2"/>
    <n v="0"/>
    <n v="508"/>
    <n v="1590.17"/>
    <n v="48154"/>
    <x v="1"/>
    <x v="0"/>
    <s v="Polar"/>
    <n v="41"/>
    <n v="190.62"/>
  </r>
  <r>
    <s v="SM-00598"/>
    <s v="Mission_598"/>
    <x v="5"/>
    <x v="3"/>
    <x v="568"/>
    <s v="Kourou"/>
    <x v="5"/>
    <x v="1"/>
    <x v="2"/>
    <n v="7"/>
    <n v="244"/>
    <n v="4224.78"/>
    <n v="42717"/>
    <x v="1"/>
    <x v="2"/>
    <s v="Polar"/>
    <n v="13"/>
    <n v="157.12"/>
  </r>
  <r>
    <s v="SM-00599"/>
    <s v="Mission_599"/>
    <x v="4"/>
    <x v="4"/>
    <x v="569"/>
    <s v="Kourou"/>
    <x v="5"/>
    <x v="1"/>
    <x v="0"/>
    <n v="6"/>
    <n v="482"/>
    <n v="1699.44"/>
    <n v="29043"/>
    <x v="0"/>
    <x v="2"/>
    <s v="GEO"/>
    <n v="12"/>
    <n v="115.04"/>
  </r>
  <r>
    <s v="SM-00600"/>
    <s v="Mission_600"/>
    <x v="1"/>
    <x v="5"/>
    <x v="158"/>
    <s v="Kourou"/>
    <x v="0"/>
    <x v="0"/>
    <x v="5"/>
    <n v="5"/>
    <n v="1317"/>
    <n v="968.67"/>
    <n v="21716"/>
    <x v="2"/>
    <x v="0"/>
    <s v="Sun-Synchronous"/>
    <n v="21"/>
    <n v="2.57"/>
  </r>
  <r>
    <s v="SM-00601"/>
    <s v="Mission_601"/>
    <x v="2"/>
    <x v="2"/>
    <x v="570"/>
    <s v="Sriharikota"/>
    <x v="5"/>
    <x v="3"/>
    <x v="1"/>
    <n v="5"/>
    <n v="860"/>
    <n v="3312.56"/>
    <n v="6140"/>
    <x v="1"/>
    <x v="2"/>
    <s v="Sun-Synchronous"/>
    <n v="50"/>
    <n v="78.03"/>
  </r>
  <r>
    <s v="SM-00602"/>
    <s v="Mission_602"/>
    <x v="3"/>
    <x v="4"/>
    <x v="571"/>
    <s v="Tanegashima"/>
    <x v="0"/>
    <x v="3"/>
    <x v="4"/>
    <n v="7"/>
    <n v="271"/>
    <n v="1602.36"/>
    <n v="17135"/>
    <x v="1"/>
    <x v="0"/>
    <s v="LEO"/>
    <n v="49"/>
    <n v="190.8"/>
  </r>
  <r>
    <s v="SM-00603"/>
    <s v="Mission_603"/>
    <x v="5"/>
    <x v="0"/>
    <x v="572"/>
    <s v="Sriharikota"/>
    <x v="0"/>
    <x v="2"/>
    <x v="4"/>
    <n v="0"/>
    <n v="1206"/>
    <n v="3889.36"/>
    <n v="15959"/>
    <x v="2"/>
    <x v="3"/>
    <s v="Polar"/>
    <n v="20"/>
    <n v="76.37"/>
  </r>
  <r>
    <s v="SM-00604"/>
    <s v="Mission_604"/>
    <x v="3"/>
    <x v="0"/>
    <x v="573"/>
    <s v="Kennedy"/>
    <x v="5"/>
    <x v="0"/>
    <x v="2"/>
    <n v="7"/>
    <n v="393"/>
    <n v="1499.2"/>
    <n v="36473"/>
    <x v="2"/>
    <x v="3"/>
    <s v="LEO"/>
    <n v="44"/>
    <n v="52.44"/>
  </r>
  <r>
    <s v="SM-00605"/>
    <s v="Mission_605"/>
    <x v="6"/>
    <x v="0"/>
    <x v="574"/>
    <s v="Baikonur"/>
    <x v="2"/>
    <x v="3"/>
    <x v="3"/>
    <n v="1"/>
    <n v="127"/>
    <n v="354.8"/>
    <n v="17928"/>
    <x v="2"/>
    <x v="0"/>
    <s v="LEO"/>
    <n v="4"/>
    <n v="216.55"/>
  </r>
  <r>
    <s v="SM-00606"/>
    <s v="Mission_606"/>
    <x v="2"/>
    <x v="0"/>
    <x v="575"/>
    <s v="Sriharikota"/>
    <x v="2"/>
    <x v="2"/>
    <x v="5"/>
    <n v="4"/>
    <n v="1435"/>
    <n v="363.63"/>
    <n v="33749"/>
    <x v="2"/>
    <x v="0"/>
    <s v="MEO"/>
    <n v="11"/>
    <n v="71.47"/>
  </r>
  <r>
    <s v="SM-00607"/>
    <s v="Mission_607"/>
    <x v="3"/>
    <x v="0"/>
    <x v="576"/>
    <s v="Baikonur"/>
    <x v="0"/>
    <x v="3"/>
    <x v="1"/>
    <n v="3"/>
    <n v="941"/>
    <n v="1948.99"/>
    <n v="33878"/>
    <x v="0"/>
    <x v="3"/>
    <s v="MEO"/>
    <n v="15"/>
    <n v="30.76"/>
  </r>
  <r>
    <s v="SM-00608"/>
    <s v="Mission_608"/>
    <x v="2"/>
    <x v="1"/>
    <x v="577"/>
    <s v="Jiuquan"/>
    <x v="4"/>
    <x v="2"/>
    <x v="3"/>
    <n v="3"/>
    <n v="142"/>
    <n v="1421.03"/>
    <n v="1574"/>
    <x v="2"/>
    <x v="3"/>
    <s v="Transfer Orbit"/>
    <n v="34"/>
    <n v="190.2"/>
  </r>
  <r>
    <s v="SM-00609"/>
    <s v="Mission_609"/>
    <x v="3"/>
    <x v="3"/>
    <x v="578"/>
    <s v="Baikonur"/>
    <x v="1"/>
    <x v="5"/>
    <x v="5"/>
    <n v="4"/>
    <n v="1091"/>
    <n v="1599.32"/>
    <n v="47648"/>
    <x v="1"/>
    <x v="0"/>
    <s v="Transfer Orbit"/>
    <n v="28"/>
    <n v="71.739999999999995"/>
  </r>
  <r>
    <s v="SM-00610"/>
    <s v="Mission_610"/>
    <x v="1"/>
    <x v="1"/>
    <x v="579"/>
    <s v="Kennedy"/>
    <x v="4"/>
    <x v="1"/>
    <x v="4"/>
    <n v="1"/>
    <n v="136"/>
    <n v="544.59"/>
    <n v="6791"/>
    <x v="1"/>
    <x v="2"/>
    <s v="Polar"/>
    <n v="32"/>
    <n v="96.14"/>
  </r>
  <r>
    <s v="SM-00611"/>
    <s v="Mission_611"/>
    <x v="0"/>
    <x v="5"/>
    <x v="580"/>
    <s v="Kennedy"/>
    <x v="0"/>
    <x v="4"/>
    <x v="2"/>
    <n v="8"/>
    <n v="1308"/>
    <n v="2121.9499999999998"/>
    <n v="42742"/>
    <x v="2"/>
    <x v="2"/>
    <s v="Transfer Orbit"/>
    <n v="18"/>
    <n v="110.08"/>
  </r>
  <r>
    <s v="SM-00612"/>
    <s v="Mission_612"/>
    <x v="2"/>
    <x v="0"/>
    <x v="581"/>
    <s v="Tanegashima"/>
    <x v="0"/>
    <x v="2"/>
    <x v="4"/>
    <n v="5"/>
    <n v="1496"/>
    <n v="1749.23"/>
    <n v="47519"/>
    <x v="1"/>
    <x v="1"/>
    <s v="MEO"/>
    <n v="20"/>
    <n v="195.42"/>
  </r>
  <r>
    <s v="SM-00613"/>
    <s v="Mission_613"/>
    <x v="0"/>
    <x v="3"/>
    <x v="489"/>
    <s v="Sriharikota"/>
    <x v="1"/>
    <x v="3"/>
    <x v="5"/>
    <n v="7"/>
    <n v="649"/>
    <n v="1430.1"/>
    <n v="39487"/>
    <x v="2"/>
    <x v="0"/>
    <s v="LEO"/>
    <n v="29"/>
    <n v="3.71"/>
  </r>
  <r>
    <s v="SM-00614"/>
    <s v="Mission_614"/>
    <x v="1"/>
    <x v="3"/>
    <x v="582"/>
    <s v="Tanegashima"/>
    <x v="5"/>
    <x v="4"/>
    <x v="1"/>
    <n v="7"/>
    <n v="685"/>
    <n v="2868.54"/>
    <n v="19192"/>
    <x v="1"/>
    <x v="2"/>
    <s v="GEO"/>
    <n v="50"/>
    <n v="96.56"/>
  </r>
  <r>
    <s v="SM-00615"/>
    <s v="Mission_615"/>
    <x v="1"/>
    <x v="3"/>
    <x v="36"/>
    <s v="Baikonur"/>
    <x v="2"/>
    <x v="5"/>
    <x v="2"/>
    <n v="1"/>
    <n v="818"/>
    <n v="1290.3499999999999"/>
    <n v="42005"/>
    <x v="0"/>
    <x v="3"/>
    <s v="Transfer Orbit"/>
    <n v="12"/>
    <n v="193.65"/>
  </r>
  <r>
    <s v="SM-00616"/>
    <s v="Mission_616"/>
    <x v="5"/>
    <x v="0"/>
    <x v="583"/>
    <s v="Tanegashima"/>
    <x v="0"/>
    <x v="3"/>
    <x v="1"/>
    <n v="8"/>
    <n v="1178"/>
    <n v="1780.88"/>
    <n v="34043"/>
    <x v="1"/>
    <x v="2"/>
    <s v="MEO"/>
    <n v="38"/>
    <n v="197.01"/>
  </r>
  <r>
    <s v="SM-00617"/>
    <s v="Mission_617"/>
    <x v="3"/>
    <x v="4"/>
    <x v="584"/>
    <s v="Kourou"/>
    <x v="0"/>
    <x v="1"/>
    <x v="3"/>
    <n v="1"/>
    <n v="1379"/>
    <n v="4181.1000000000004"/>
    <n v="9139"/>
    <x v="2"/>
    <x v="2"/>
    <s v="LEO"/>
    <n v="7"/>
    <n v="223.61"/>
  </r>
  <r>
    <s v="SM-00618"/>
    <s v="Mission_618"/>
    <x v="0"/>
    <x v="2"/>
    <x v="585"/>
    <s v="Tanegashima"/>
    <x v="4"/>
    <x v="4"/>
    <x v="1"/>
    <n v="3"/>
    <n v="546"/>
    <n v="2182.67"/>
    <n v="14097"/>
    <x v="0"/>
    <x v="2"/>
    <s v="GEO"/>
    <n v="41"/>
    <n v="73.27"/>
  </r>
  <r>
    <s v="SM-00619"/>
    <s v="Mission_619"/>
    <x v="4"/>
    <x v="0"/>
    <x v="586"/>
    <s v="Jiuquan"/>
    <x v="0"/>
    <x v="0"/>
    <x v="0"/>
    <n v="5"/>
    <n v="196"/>
    <n v="2203.34"/>
    <n v="27130"/>
    <x v="1"/>
    <x v="1"/>
    <s v="LEO"/>
    <n v="28"/>
    <n v="87.09"/>
  </r>
  <r>
    <s v="SM-00620"/>
    <s v="Mission_620"/>
    <x v="3"/>
    <x v="0"/>
    <x v="587"/>
    <s v="Tanegashima"/>
    <x v="5"/>
    <x v="2"/>
    <x v="0"/>
    <n v="2"/>
    <n v="399"/>
    <n v="135.82"/>
    <n v="31397"/>
    <x v="2"/>
    <x v="0"/>
    <s v="GEO"/>
    <n v="17"/>
    <n v="131.53"/>
  </r>
  <r>
    <s v="SM-00621"/>
    <s v="Mission_621"/>
    <x v="1"/>
    <x v="1"/>
    <x v="588"/>
    <s v="Baikonur"/>
    <x v="2"/>
    <x v="5"/>
    <x v="2"/>
    <n v="1"/>
    <n v="545"/>
    <n v="4163.4799999999996"/>
    <n v="12963"/>
    <x v="2"/>
    <x v="0"/>
    <s v="MEO"/>
    <n v="15"/>
    <n v="141.56"/>
  </r>
  <r>
    <s v="SM-00622"/>
    <s v="Mission_622"/>
    <x v="3"/>
    <x v="5"/>
    <x v="589"/>
    <s v="Tanegashima"/>
    <x v="0"/>
    <x v="4"/>
    <x v="4"/>
    <n v="0"/>
    <n v="1336"/>
    <n v="659.73"/>
    <n v="28148"/>
    <x v="2"/>
    <x v="2"/>
    <s v="GEO"/>
    <n v="3"/>
    <n v="112.09"/>
  </r>
  <r>
    <s v="SM-00623"/>
    <s v="Mission_623"/>
    <x v="1"/>
    <x v="2"/>
    <x v="590"/>
    <s v="Tanegashima"/>
    <x v="3"/>
    <x v="4"/>
    <x v="3"/>
    <n v="7"/>
    <n v="282"/>
    <n v="2321.73"/>
    <n v="35133"/>
    <x v="0"/>
    <x v="0"/>
    <s v="MEO"/>
    <n v="36"/>
    <n v="60.43"/>
  </r>
  <r>
    <s v="SM-00624"/>
    <s v="Mission_624"/>
    <x v="6"/>
    <x v="5"/>
    <x v="591"/>
    <s v="Kourou"/>
    <x v="3"/>
    <x v="5"/>
    <x v="3"/>
    <n v="8"/>
    <n v="697"/>
    <n v="4432.04"/>
    <n v="13220"/>
    <x v="2"/>
    <x v="3"/>
    <s v="Transfer Orbit"/>
    <n v="15"/>
    <n v="223.85"/>
  </r>
  <r>
    <s v="SM-00625"/>
    <s v="Mission_625"/>
    <x v="3"/>
    <x v="4"/>
    <x v="592"/>
    <s v="Kennedy"/>
    <x v="1"/>
    <x v="2"/>
    <x v="3"/>
    <n v="0"/>
    <n v="202"/>
    <n v="4608.5"/>
    <n v="42697"/>
    <x v="0"/>
    <x v="3"/>
    <s v="LEO"/>
    <n v="14"/>
    <n v="219.42"/>
  </r>
  <r>
    <s v="SM-00626"/>
    <s v="Mission_626"/>
    <x v="2"/>
    <x v="1"/>
    <x v="14"/>
    <s v="Tanegashima"/>
    <x v="4"/>
    <x v="3"/>
    <x v="3"/>
    <n v="3"/>
    <n v="131"/>
    <n v="1822.23"/>
    <n v="18683"/>
    <x v="0"/>
    <x v="2"/>
    <s v="LEO"/>
    <n v="4"/>
    <n v="77.75"/>
  </r>
  <r>
    <s v="SM-00627"/>
    <s v="Mission_627"/>
    <x v="3"/>
    <x v="2"/>
    <x v="593"/>
    <s v="Kennedy"/>
    <x v="5"/>
    <x v="0"/>
    <x v="2"/>
    <n v="4"/>
    <n v="27"/>
    <n v="496.27"/>
    <n v="15303"/>
    <x v="2"/>
    <x v="1"/>
    <s v="LEO"/>
    <n v="39"/>
    <n v="32.130000000000003"/>
  </r>
  <r>
    <s v="SM-00628"/>
    <s v="Mission_628"/>
    <x v="1"/>
    <x v="3"/>
    <x v="493"/>
    <s v="Tanegashima"/>
    <x v="2"/>
    <x v="5"/>
    <x v="4"/>
    <n v="6"/>
    <n v="1291"/>
    <n v="890.12"/>
    <n v="26284"/>
    <x v="2"/>
    <x v="3"/>
    <s v="Sun-Synchronous"/>
    <n v="5"/>
    <n v="168.3"/>
  </r>
  <r>
    <s v="SM-00629"/>
    <s v="Mission_629"/>
    <x v="5"/>
    <x v="3"/>
    <x v="594"/>
    <s v="Kourou"/>
    <x v="5"/>
    <x v="3"/>
    <x v="2"/>
    <n v="5"/>
    <n v="53"/>
    <n v="2568.85"/>
    <n v="30047"/>
    <x v="1"/>
    <x v="0"/>
    <s v="LEO"/>
    <n v="20"/>
    <n v="158.22999999999999"/>
  </r>
  <r>
    <s v="SM-00630"/>
    <s v="Mission_630"/>
    <x v="2"/>
    <x v="5"/>
    <x v="595"/>
    <s v="Baikonur"/>
    <x v="5"/>
    <x v="4"/>
    <x v="4"/>
    <n v="6"/>
    <n v="415"/>
    <n v="1695.97"/>
    <n v="8051"/>
    <x v="1"/>
    <x v="2"/>
    <s v="MEO"/>
    <n v="7"/>
    <n v="14.59"/>
  </r>
  <r>
    <s v="SM-00631"/>
    <s v="Mission_631"/>
    <x v="2"/>
    <x v="5"/>
    <x v="596"/>
    <s v="Baikonur"/>
    <x v="1"/>
    <x v="1"/>
    <x v="3"/>
    <n v="2"/>
    <n v="462"/>
    <n v="1911.21"/>
    <n v="26314"/>
    <x v="0"/>
    <x v="2"/>
    <s v="GEO"/>
    <n v="28"/>
    <n v="205.2"/>
  </r>
  <r>
    <s v="SM-00632"/>
    <s v="Mission_632"/>
    <x v="6"/>
    <x v="5"/>
    <x v="597"/>
    <s v="Baikonur"/>
    <x v="0"/>
    <x v="1"/>
    <x v="4"/>
    <n v="8"/>
    <n v="70"/>
    <n v="2358.1799999999998"/>
    <n v="34320"/>
    <x v="1"/>
    <x v="0"/>
    <s v="Transfer Orbit"/>
    <n v="49"/>
    <n v="236.93"/>
  </r>
  <r>
    <s v="SM-00633"/>
    <s v="Mission_633"/>
    <x v="3"/>
    <x v="0"/>
    <x v="598"/>
    <s v="Kourou"/>
    <x v="5"/>
    <x v="4"/>
    <x v="2"/>
    <n v="3"/>
    <n v="425"/>
    <n v="740.34"/>
    <n v="13505"/>
    <x v="2"/>
    <x v="0"/>
    <s v="Polar"/>
    <n v="10"/>
    <n v="2.74"/>
  </r>
  <r>
    <s v="SM-00634"/>
    <s v="Mission_634"/>
    <x v="3"/>
    <x v="1"/>
    <x v="599"/>
    <s v="Kourou"/>
    <x v="4"/>
    <x v="4"/>
    <x v="4"/>
    <n v="4"/>
    <n v="1040"/>
    <n v="3899.8"/>
    <n v="39731"/>
    <x v="2"/>
    <x v="0"/>
    <s v="Sun-Synchronous"/>
    <n v="28"/>
    <n v="107.53"/>
  </r>
  <r>
    <s v="SM-00635"/>
    <s v="Mission_635"/>
    <x v="3"/>
    <x v="3"/>
    <x v="600"/>
    <s v="Baikonur"/>
    <x v="2"/>
    <x v="0"/>
    <x v="4"/>
    <n v="4"/>
    <n v="1133"/>
    <n v="903.48"/>
    <n v="20310"/>
    <x v="1"/>
    <x v="0"/>
    <s v="MEO"/>
    <n v="11"/>
    <n v="153.19"/>
  </r>
  <r>
    <s v="SM-00636"/>
    <s v="Mission_636"/>
    <x v="3"/>
    <x v="4"/>
    <x v="601"/>
    <s v="Sriharikota"/>
    <x v="2"/>
    <x v="5"/>
    <x v="2"/>
    <n v="0"/>
    <n v="1062"/>
    <n v="3256.35"/>
    <n v="3104"/>
    <x v="1"/>
    <x v="1"/>
    <s v="GEO"/>
    <n v="5"/>
    <n v="147.6"/>
  </r>
  <r>
    <s v="SM-00637"/>
    <s v="Mission_637"/>
    <x v="5"/>
    <x v="4"/>
    <x v="602"/>
    <s v="Jiuquan"/>
    <x v="3"/>
    <x v="2"/>
    <x v="0"/>
    <n v="4"/>
    <n v="91"/>
    <n v="4256.41"/>
    <n v="3647"/>
    <x v="0"/>
    <x v="1"/>
    <s v="Sun-Synchronous"/>
    <n v="31"/>
    <n v="58.47"/>
  </r>
  <r>
    <s v="SM-00638"/>
    <s v="Mission_638"/>
    <x v="6"/>
    <x v="0"/>
    <x v="603"/>
    <s v="Jiuquan"/>
    <x v="0"/>
    <x v="4"/>
    <x v="2"/>
    <n v="7"/>
    <n v="452"/>
    <n v="4960.62"/>
    <n v="6154"/>
    <x v="0"/>
    <x v="1"/>
    <s v="LEO"/>
    <n v="35"/>
    <n v="165.64"/>
  </r>
  <r>
    <s v="SM-00639"/>
    <s v="Mission_639"/>
    <x v="1"/>
    <x v="4"/>
    <x v="604"/>
    <s v="Jiuquan"/>
    <x v="1"/>
    <x v="5"/>
    <x v="4"/>
    <n v="8"/>
    <n v="846"/>
    <n v="4447.08"/>
    <n v="42999"/>
    <x v="1"/>
    <x v="2"/>
    <s v="GEO"/>
    <n v="14"/>
    <n v="172.33"/>
  </r>
  <r>
    <s v="SM-00640"/>
    <s v="Mission_640"/>
    <x v="0"/>
    <x v="1"/>
    <x v="605"/>
    <s v="Tanegashima"/>
    <x v="2"/>
    <x v="1"/>
    <x v="4"/>
    <n v="3"/>
    <n v="634"/>
    <n v="4817.29"/>
    <n v="32379"/>
    <x v="2"/>
    <x v="1"/>
    <s v="Sun-Synchronous"/>
    <n v="39"/>
    <n v="36.9"/>
  </r>
  <r>
    <s v="SM-00641"/>
    <s v="Mission_641"/>
    <x v="3"/>
    <x v="3"/>
    <x v="50"/>
    <s v="Kourou"/>
    <x v="2"/>
    <x v="1"/>
    <x v="2"/>
    <n v="1"/>
    <n v="402"/>
    <n v="4859.37"/>
    <n v="19439"/>
    <x v="2"/>
    <x v="2"/>
    <s v="Sun-Synchronous"/>
    <n v="45"/>
    <n v="53.08"/>
  </r>
  <r>
    <s v="SM-00642"/>
    <s v="Mission_642"/>
    <x v="2"/>
    <x v="4"/>
    <x v="606"/>
    <s v="Sriharikota"/>
    <x v="1"/>
    <x v="1"/>
    <x v="0"/>
    <n v="1"/>
    <n v="890"/>
    <n v="2388.5"/>
    <n v="45838"/>
    <x v="0"/>
    <x v="1"/>
    <s v="Polar"/>
    <n v="26"/>
    <n v="138.6"/>
  </r>
  <r>
    <s v="SM-00643"/>
    <s v="Mission_643"/>
    <x v="5"/>
    <x v="5"/>
    <x v="607"/>
    <s v="Kennedy"/>
    <x v="4"/>
    <x v="2"/>
    <x v="3"/>
    <n v="6"/>
    <n v="1279"/>
    <n v="3149.89"/>
    <n v="6380"/>
    <x v="0"/>
    <x v="3"/>
    <s v="GEO"/>
    <n v="26"/>
    <n v="146.22"/>
  </r>
  <r>
    <s v="SM-00644"/>
    <s v="Mission_644"/>
    <x v="5"/>
    <x v="2"/>
    <x v="608"/>
    <s v="Sriharikota"/>
    <x v="2"/>
    <x v="5"/>
    <x v="2"/>
    <n v="5"/>
    <n v="958"/>
    <n v="1607"/>
    <n v="8901"/>
    <x v="1"/>
    <x v="2"/>
    <s v="GEO"/>
    <n v="4"/>
    <n v="85.44"/>
  </r>
  <r>
    <s v="SM-00645"/>
    <s v="Mission_645"/>
    <x v="6"/>
    <x v="1"/>
    <x v="609"/>
    <s v="Jiuquan"/>
    <x v="4"/>
    <x v="0"/>
    <x v="5"/>
    <n v="7"/>
    <n v="1492"/>
    <n v="3657.35"/>
    <n v="8946"/>
    <x v="1"/>
    <x v="3"/>
    <s v="Polar"/>
    <n v="32"/>
    <n v="61.58"/>
  </r>
  <r>
    <s v="SM-00646"/>
    <s v="Mission_646"/>
    <x v="4"/>
    <x v="0"/>
    <x v="610"/>
    <s v="Kennedy"/>
    <x v="2"/>
    <x v="3"/>
    <x v="3"/>
    <n v="2"/>
    <n v="942"/>
    <n v="2674.83"/>
    <n v="12593"/>
    <x v="0"/>
    <x v="3"/>
    <s v="Polar"/>
    <n v="20"/>
    <n v="114.84"/>
  </r>
  <r>
    <s v="SM-00647"/>
    <s v="Mission_647"/>
    <x v="5"/>
    <x v="0"/>
    <x v="611"/>
    <s v="Baikonur"/>
    <x v="2"/>
    <x v="4"/>
    <x v="4"/>
    <n v="6"/>
    <n v="1098"/>
    <n v="1881.61"/>
    <n v="38339"/>
    <x v="2"/>
    <x v="0"/>
    <s v="Sun-Synchronous"/>
    <n v="40"/>
    <n v="84.16"/>
  </r>
  <r>
    <s v="SM-00648"/>
    <s v="Mission_648"/>
    <x v="6"/>
    <x v="0"/>
    <x v="612"/>
    <s v="Tanegashima"/>
    <x v="3"/>
    <x v="3"/>
    <x v="5"/>
    <n v="1"/>
    <n v="692"/>
    <n v="1036.68"/>
    <n v="27702"/>
    <x v="1"/>
    <x v="2"/>
    <s v="GEO"/>
    <n v="2"/>
    <n v="142"/>
  </r>
  <r>
    <s v="SM-00649"/>
    <s v="Mission_649"/>
    <x v="4"/>
    <x v="5"/>
    <x v="613"/>
    <s v="Kourou"/>
    <x v="0"/>
    <x v="0"/>
    <x v="1"/>
    <n v="0"/>
    <n v="277"/>
    <n v="3712.83"/>
    <n v="24827"/>
    <x v="1"/>
    <x v="0"/>
    <s v="Transfer Orbit"/>
    <n v="44"/>
    <n v="50.51"/>
  </r>
  <r>
    <s v="SM-00650"/>
    <s v="Mission_650"/>
    <x v="0"/>
    <x v="0"/>
    <x v="614"/>
    <s v="Kennedy"/>
    <x v="4"/>
    <x v="5"/>
    <x v="3"/>
    <n v="8"/>
    <n v="1090"/>
    <n v="1880.89"/>
    <n v="44809"/>
    <x v="1"/>
    <x v="3"/>
    <s v="Polar"/>
    <n v="31"/>
    <n v="57.49"/>
  </r>
  <r>
    <s v="SM-00651"/>
    <s v="Mission_651"/>
    <x v="4"/>
    <x v="2"/>
    <x v="615"/>
    <s v="Tanegashima"/>
    <x v="1"/>
    <x v="3"/>
    <x v="5"/>
    <n v="4"/>
    <n v="229"/>
    <n v="1863.77"/>
    <n v="47330"/>
    <x v="1"/>
    <x v="3"/>
    <s v="Transfer Orbit"/>
    <n v="19"/>
    <n v="219.63"/>
  </r>
  <r>
    <s v="SM-00652"/>
    <s v="Mission_652"/>
    <x v="4"/>
    <x v="3"/>
    <x v="616"/>
    <s v="Kennedy"/>
    <x v="1"/>
    <x v="3"/>
    <x v="2"/>
    <n v="3"/>
    <n v="981"/>
    <n v="2191.3000000000002"/>
    <n v="17193"/>
    <x v="0"/>
    <x v="3"/>
    <s v="Transfer Orbit"/>
    <n v="48"/>
    <n v="230.17"/>
  </r>
  <r>
    <s v="SM-00653"/>
    <s v="Mission_653"/>
    <x v="5"/>
    <x v="0"/>
    <x v="617"/>
    <s v="Tanegashima"/>
    <x v="1"/>
    <x v="0"/>
    <x v="1"/>
    <n v="1"/>
    <n v="381"/>
    <n v="4817.63"/>
    <n v="15833"/>
    <x v="2"/>
    <x v="3"/>
    <s v="Transfer Orbit"/>
    <n v="5"/>
    <n v="117.67"/>
  </r>
  <r>
    <s v="SM-00654"/>
    <s v="Mission_654"/>
    <x v="5"/>
    <x v="5"/>
    <x v="618"/>
    <s v="Tanegashima"/>
    <x v="0"/>
    <x v="0"/>
    <x v="1"/>
    <n v="8"/>
    <n v="415"/>
    <n v="2636.55"/>
    <n v="2613"/>
    <x v="0"/>
    <x v="2"/>
    <s v="LEO"/>
    <n v="16"/>
    <n v="172.27"/>
  </r>
  <r>
    <s v="SM-00655"/>
    <s v="Mission_655"/>
    <x v="0"/>
    <x v="3"/>
    <x v="619"/>
    <s v="Kennedy"/>
    <x v="5"/>
    <x v="0"/>
    <x v="0"/>
    <n v="1"/>
    <n v="1057"/>
    <n v="1219.9000000000001"/>
    <n v="33475"/>
    <x v="0"/>
    <x v="0"/>
    <s v="GEO"/>
    <n v="27"/>
    <n v="243.91"/>
  </r>
  <r>
    <s v="SM-00656"/>
    <s v="Mission_656"/>
    <x v="4"/>
    <x v="1"/>
    <x v="620"/>
    <s v="Tanegashima"/>
    <x v="5"/>
    <x v="2"/>
    <x v="4"/>
    <n v="4"/>
    <n v="43"/>
    <n v="1515.96"/>
    <n v="41599"/>
    <x v="0"/>
    <x v="3"/>
    <s v="Polar"/>
    <n v="8"/>
    <n v="47.7"/>
  </r>
  <r>
    <s v="SM-00657"/>
    <s v="Mission_657"/>
    <x v="4"/>
    <x v="0"/>
    <x v="621"/>
    <s v="Tanegashima"/>
    <x v="4"/>
    <x v="3"/>
    <x v="1"/>
    <n v="1"/>
    <n v="1384"/>
    <n v="4069"/>
    <n v="24574"/>
    <x v="1"/>
    <x v="1"/>
    <s v="Polar"/>
    <n v="25"/>
    <n v="118.61"/>
  </r>
  <r>
    <s v="SM-00658"/>
    <s v="Mission_658"/>
    <x v="1"/>
    <x v="5"/>
    <x v="622"/>
    <s v="Sriharikota"/>
    <x v="4"/>
    <x v="0"/>
    <x v="0"/>
    <n v="8"/>
    <n v="1434"/>
    <n v="2295.48"/>
    <n v="2495"/>
    <x v="2"/>
    <x v="0"/>
    <s v="LEO"/>
    <n v="38"/>
    <n v="174.37"/>
  </r>
  <r>
    <s v="SM-00659"/>
    <s v="Mission_659"/>
    <x v="3"/>
    <x v="3"/>
    <x v="623"/>
    <s v="Kourou"/>
    <x v="3"/>
    <x v="2"/>
    <x v="2"/>
    <n v="7"/>
    <n v="910"/>
    <n v="3248.72"/>
    <n v="41707"/>
    <x v="2"/>
    <x v="1"/>
    <s v="GEO"/>
    <n v="24"/>
    <n v="35.39"/>
  </r>
  <r>
    <s v="SM-00660"/>
    <s v="Mission_660"/>
    <x v="6"/>
    <x v="1"/>
    <x v="624"/>
    <s v="Tanegashima"/>
    <x v="1"/>
    <x v="1"/>
    <x v="4"/>
    <n v="6"/>
    <n v="407"/>
    <n v="410.33"/>
    <n v="45900"/>
    <x v="2"/>
    <x v="0"/>
    <s v="MEO"/>
    <n v="12"/>
    <n v="36.409999999999997"/>
  </r>
  <r>
    <s v="SM-00661"/>
    <s v="Mission_661"/>
    <x v="2"/>
    <x v="3"/>
    <x v="625"/>
    <s v="Tanegashima"/>
    <x v="5"/>
    <x v="2"/>
    <x v="4"/>
    <n v="0"/>
    <n v="535"/>
    <n v="4934.53"/>
    <n v="16882"/>
    <x v="0"/>
    <x v="3"/>
    <s v="GEO"/>
    <n v="20"/>
    <n v="72.5"/>
  </r>
  <r>
    <s v="SM-00662"/>
    <s v="Mission_662"/>
    <x v="5"/>
    <x v="2"/>
    <x v="626"/>
    <s v="Tanegashima"/>
    <x v="1"/>
    <x v="3"/>
    <x v="1"/>
    <n v="1"/>
    <n v="1196"/>
    <n v="833.47"/>
    <n v="11715"/>
    <x v="0"/>
    <x v="2"/>
    <s v="MEO"/>
    <n v="41"/>
    <n v="39.619999999999997"/>
  </r>
  <r>
    <s v="SM-00663"/>
    <s v="Mission_663"/>
    <x v="0"/>
    <x v="3"/>
    <x v="627"/>
    <s v="Kennedy"/>
    <x v="5"/>
    <x v="0"/>
    <x v="1"/>
    <n v="3"/>
    <n v="1402"/>
    <n v="4526.0200000000004"/>
    <n v="9726"/>
    <x v="0"/>
    <x v="2"/>
    <s v="GEO"/>
    <n v="49"/>
    <n v="240.16"/>
  </r>
  <r>
    <s v="SM-00664"/>
    <s v="Mission_664"/>
    <x v="1"/>
    <x v="1"/>
    <x v="628"/>
    <s v="Jiuquan"/>
    <x v="4"/>
    <x v="1"/>
    <x v="2"/>
    <n v="4"/>
    <n v="205"/>
    <n v="3453.28"/>
    <n v="17011"/>
    <x v="0"/>
    <x v="2"/>
    <s v="Sun-Synchronous"/>
    <n v="12"/>
    <n v="237.31"/>
  </r>
  <r>
    <s v="SM-00665"/>
    <s v="Mission_665"/>
    <x v="2"/>
    <x v="1"/>
    <x v="356"/>
    <s v="Tanegashima"/>
    <x v="2"/>
    <x v="1"/>
    <x v="2"/>
    <n v="2"/>
    <n v="56"/>
    <n v="1826.97"/>
    <n v="8305"/>
    <x v="0"/>
    <x v="1"/>
    <s v="Transfer Orbit"/>
    <n v="24"/>
    <n v="208.67"/>
  </r>
  <r>
    <s v="SM-00666"/>
    <s v="Mission_666"/>
    <x v="3"/>
    <x v="4"/>
    <x v="629"/>
    <s v="Jiuquan"/>
    <x v="1"/>
    <x v="3"/>
    <x v="2"/>
    <n v="4"/>
    <n v="1152"/>
    <n v="486.52"/>
    <n v="15266"/>
    <x v="2"/>
    <x v="1"/>
    <s v="MEO"/>
    <n v="19"/>
    <n v="159.65"/>
  </r>
  <r>
    <s v="SM-00667"/>
    <s v="Mission_667"/>
    <x v="3"/>
    <x v="0"/>
    <x v="630"/>
    <s v="Kennedy"/>
    <x v="5"/>
    <x v="5"/>
    <x v="2"/>
    <n v="1"/>
    <n v="709"/>
    <n v="2285.9899999999998"/>
    <n v="911"/>
    <x v="2"/>
    <x v="0"/>
    <s v="Sun-Synchronous"/>
    <n v="25"/>
    <n v="188.14"/>
  </r>
  <r>
    <s v="SM-00668"/>
    <s v="Mission_668"/>
    <x v="1"/>
    <x v="3"/>
    <x v="631"/>
    <s v="Sriharikota"/>
    <x v="1"/>
    <x v="1"/>
    <x v="0"/>
    <n v="7"/>
    <n v="607"/>
    <n v="3747.54"/>
    <n v="17737"/>
    <x v="2"/>
    <x v="3"/>
    <s v="Polar"/>
    <n v="23"/>
    <n v="222.82"/>
  </r>
  <r>
    <s v="SM-00669"/>
    <s v="Mission_669"/>
    <x v="0"/>
    <x v="5"/>
    <x v="632"/>
    <s v="Jiuquan"/>
    <x v="5"/>
    <x v="3"/>
    <x v="4"/>
    <n v="2"/>
    <n v="751"/>
    <n v="3658.14"/>
    <n v="44254"/>
    <x v="1"/>
    <x v="0"/>
    <s v="Transfer Orbit"/>
    <n v="43"/>
    <n v="237.54"/>
  </r>
  <r>
    <s v="SM-00670"/>
    <s v="Mission_670"/>
    <x v="3"/>
    <x v="0"/>
    <x v="633"/>
    <s v="Tanegashima"/>
    <x v="4"/>
    <x v="3"/>
    <x v="2"/>
    <n v="6"/>
    <n v="424"/>
    <n v="308.83999999999997"/>
    <n v="33447"/>
    <x v="1"/>
    <x v="1"/>
    <s v="LEO"/>
    <n v="38"/>
    <n v="50.17"/>
  </r>
  <r>
    <s v="SM-00671"/>
    <s v="Mission_671"/>
    <x v="6"/>
    <x v="1"/>
    <x v="634"/>
    <s v="Kennedy"/>
    <x v="1"/>
    <x v="5"/>
    <x v="2"/>
    <n v="3"/>
    <n v="927"/>
    <n v="4088.13"/>
    <n v="40468"/>
    <x v="1"/>
    <x v="0"/>
    <s v="Sun-Synchronous"/>
    <n v="32"/>
    <n v="236.01"/>
  </r>
  <r>
    <s v="SM-00672"/>
    <s v="Mission_672"/>
    <x v="6"/>
    <x v="2"/>
    <x v="635"/>
    <s v="Sriharikota"/>
    <x v="2"/>
    <x v="1"/>
    <x v="0"/>
    <n v="1"/>
    <n v="1182"/>
    <n v="2700.24"/>
    <n v="32302"/>
    <x v="2"/>
    <x v="0"/>
    <s v="Polar"/>
    <n v="2"/>
    <n v="48.21"/>
  </r>
  <r>
    <s v="SM-00673"/>
    <s v="Mission_673"/>
    <x v="6"/>
    <x v="2"/>
    <x v="636"/>
    <s v="Tanegashima"/>
    <x v="0"/>
    <x v="5"/>
    <x v="2"/>
    <n v="5"/>
    <n v="1214"/>
    <n v="501.71"/>
    <n v="35200"/>
    <x v="1"/>
    <x v="2"/>
    <s v="Polar"/>
    <n v="18"/>
    <n v="157.11000000000001"/>
  </r>
  <r>
    <s v="SM-00674"/>
    <s v="Mission_674"/>
    <x v="6"/>
    <x v="0"/>
    <x v="637"/>
    <s v="Jiuquan"/>
    <x v="3"/>
    <x v="4"/>
    <x v="0"/>
    <n v="7"/>
    <n v="949"/>
    <n v="1496.16"/>
    <n v="37014"/>
    <x v="1"/>
    <x v="1"/>
    <s v="Transfer Orbit"/>
    <n v="21"/>
    <n v="217.66"/>
  </r>
  <r>
    <s v="SM-00675"/>
    <s v="Mission_675"/>
    <x v="6"/>
    <x v="1"/>
    <x v="638"/>
    <s v="Jiuquan"/>
    <x v="1"/>
    <x v="1"/>
    <x v="1"/>
    <n v="6"/>
    <n v="1348"/>
    <n v="4610.05"/>
    <n v="7888"/>
    <x v="0"/>
    <x v="0"/>
    <s v="GEO"/>
    <n v="10"/>
    <n v="159.34"/>
  </r>
  <r>
    <s v="SM-00676"/>
    <s v="Mission_676"/>
    <x v="4"/>
    <x v="5"/>
    <x v="639"/>
    <s v="Jiuquan"/>
    <x v="4"/>
    <x v="2"/>
    <x v="5"/>
    <n v="2"/>
    <n v="72"/>
    <n v="3121.76"/>
    <n v="43208"/>
    <x v="2"/>
    <x v="2"/>
    <s v="Polar"/>
    <n v="48"/>
    <n v="27.31"/>
  </r>
  <r>
    <s v="SM-00677"/>
    <s v="Mission_677"/>
    <x v="2"/>
    <x v="1"/>
    <x v="640"/>
    <s v="Sriharikota"/>
    <x v="2"/>
    <x v="1"/>
    <x v="5"/>
    <n v="2"/>
    <n v="1264"/>
    <n v="1320.65"/>
    <n v="40605"/>
    <x v="2"/>
    <x v="0"/>
    <s v="LEO"/>
    <n v="21"/>
    <n v="26.59"/>
  </r>
  <r>
    <s v="SM-00678"/>
    <s v="Mission_678"/>
    <x v="2"/>
    <x v="2"/>
    <x v="641"/>
    <s v="Sriharikota"/>
    <x v="2"/>
    <x v="0"/>
    <x v="1"/>
    <n v="0"/>
    <n v="1073"/>
    <n v="1336.48"/>
    <n v="18149"/>
    <x v="0"/>
    <x v="2"/>
    <s v="GEO"/>
    <n v="49"/>
    <n v="27.47"/>
  </r>
  <r>
    <s v="SM-00679"/>
    <s v="Mission_679"/>
    <x v="1"/>
    <x v="3"/>
    <x v="313"/>
    <s v="Baikonur"/>
    <x v="0"/>
    <x v="4"/>
    <x v="4"/>
    <n v="0"/>
    <n v="1271"/>
    <n v="2498.0700000000002"/>
    <n v="16330"/>
    <x v="2"/>
    <x v="2"/>
    <s v="LEO"/>
    <n v="43"/>
    <n v="183.28"/>
  </r>
  <r>
    <s v="SM-00680"/>
    <s v="Mission_680"/>
    <x v="4"/>
    <x v="4"/>
    <x v="173"/>
    <s v="Sriharikota"/>
    <x v="4"/>
    <x v="1"/>
    <x v="2"/>
    <n v="4"/>
    <n v="1163"/>
    <n v="4421.53"/>
    <n v="3421"/>
    <x v="0"/>
    <x v="2"/>
    <s v="LEO"/>
    <n v="9"/>
    <n v="236.04"/>
  </r>
  <r>
    <s v="SM-00681"/>
    <s v="Mission_681"/>
    <x v="4"/>
    <x v="0"/>
    <x v="642"/>
    <s v="Kourou"/>
    <x v="4"/>
    <x v="4"/>
    <x v="5"/>
    <n v="1"/>
    <n v="146"/>
    <n v="1629.85"/>
    <n v="39490"/>
    <x v="1"/>
    <x v="1"/>
    <s v="MEO"/>
    <n v="47"/>
    <n v="202.27"/>
  </r>
  <r>
    <s v="SM-00682"/>
    <s v="Mission_682"/>
    <x v="3"/>
    <x v="3"/>
    <x v="643"/>
    <s v="Sriharikota"/>
    <x v="2"/>
    <x v="1"/>
    <x v="3"/>
    <n v="4"/>
    <n v="112"/>
    <n v="2087.19"/>
    <n v="16257"/>
    <x v="2"/>
    <x v="2"/>
    <s v="GEO"/>
    <n v="9"/>
    <n v="169.47"/>
  </r>
  <r>
    <s v="SM-00683"/>
    <s v="Mission_683"/>
    <x v="4"/>
    <x v="2"/>
    <x v="644"/>
    <s v="Tanegashima"/>
    <x v="3"/>
    <x v="1"/>
    <x v="5"/>
    <n v="5"/>
    <n v="136"/>
    <n v="2854.37"/>
    <n v="38866"/>
    <x v="2"/>
    <x v="0"/>
    <s v="Transfer Orbit"/>
    <n v="44"/>
    <n v="227.32"/>
  </r>
  <r>
    <s v="SM-00684"/>
    <s v="Mission_684"/>
    <x v="2"/>
    <x v="2"/>
    <x v="333"/>
    <s v="Sriharikota"/>
    <x v="4"/>
    <x v="4"/>
    <x v="1"/>
    <n v="2"/>
    <n v="1355"/>
    <n v="3603.52"/>
    <n v="48268"/>
    <x v="1"/>
    <x v="1"/>
    <s v="LEO"/>
    <n v="25"/>
    <n v="143.91999999999999"/>
  </r>
  <r>
    <s v="SM-00685"/>
    <s v="Mission_685"/>
    <x v="1"/>
    <x v="3"/>
    <x v="645"/>
    <s v="Tanegashima"/>
    <x v="2"/>
    <x v="0"/>
    <x v="3"/>
    <n v="2"/>
    <n v="519"/>
    <n v="2938.71"/>
    <n v="23404"/>
    <x v="0"/>
    <x v="3"/>
    <s v="Transfer Orbit"/>
    <n v="16"/>
    <n v="220.45"/>
  </r>
  <r>
    <s v="SM-00686"/>
    <s v="Mission_686"/>
    <x v="2"/>
    <x v="5"/>
    <x v="646"/>
    <s v="Tanegashima"/>
    <x v="5"/>
    <x v="3"/>
    <x v="0"/>
    <n v="1"/>
    <n v="1244"/>
    <n v="1989.51"/>
    <n v="23739"/>
    <x v="0"/>
    <x v="0"/>
    <s v="LEO"/>
    <n v="17"/>
    <n v="170.52"/>
  </r>
  <r>
    <s v="SM-00687"/>
    <s v="Mission_687"/>
    <x v="1"/>
    <x v="2"/>
    <x v="647"/>
    <s v="Jiuquan"/>
    <x v="0"/>
    <x v="1"/>
    <x v="5"/>
    <n v="3"/>
    <n v="528"/>
    <n v="4684.82"/>
    <n v="9158"/>
    <x v="0"/>
    <x v="0"/>
    <s v="Sun-Synchronous"/>
    <n v="43"/>
    <n v="245.14"/>
  </r>
  <r>
    <s v="SM-00688"/>
    <s v="Mission_688"/>
    <x v="4"/>
    <x v="2"/>
    <x v="648"/>
    <s v="Kourou"/>
    <x v="2"/>
    <x v="1"/>
    <x v="0"/>
    <n v="5"/>
    <n v="467"/>
    <n v="1149.68"/>
    <n v="12433"/>
    <x v="0"/>
    <x v="0"/>
    <s v="GEO"/>
    <n v="34"/>
    <n v="18.829999999999998"/>
  </r>
  <r>
    <s v="SM-00689"/>
    <s v="Mission_689"/>
    <x v="3"/>
    <x v="4"/>
    <x v="344"/>
    <s v="Kourou"/>
    <x v="0"/>
    <x v="0"/>
    <x v="2"/>
    <n v="4"/>
    <n v="849"/>
    <n v="1232.02"/>
    <n v="49290"/>
    <x v="1"/>
    <x v="3"/>
    <s v="MEO"/>
    <n v="10"/>
    <n v="113.35"/>
  </r>
  <r>
    <s v="SM-00690"/>
    <s v="Mission_690"/>
    <x v="6"/>
    <x v="0"/>
    <x v="649"/>
    <s v="Kennedy"/>
    <x v="3"/>
    <x v="4"/>
    <x v="1"/>
    <n v="6"/>
    <n v="251"/>
    <n v="2006.69"/>
    <n v="22292"/>
    <x v="2"/>
    <x v="1"/>
    <s v="Sun-Synchronous"/>
    <n v="31"/>
    <n v="42.85"/>
  </r>
  <r>
    <s v="SM-00691"/>
    <s v="Mission_691"/>
    <x v="6"/>
    <x v="5"/>
    <x v="650"/>
    <s v="Jiuquan"/>
    <x v="4"/>
    <x v="5"/>
    <x v="0"/>
    <n v="5"/>
    <n v="989"/>
    <n v="4302.04"/>
    <n v="11599"/>
    <x v="0"/>
    <x v="1"/>
    <s v="MEO"/>
    <n v="29"/>
    <n v="94.21"/>
  </r>
  <r>
    <s v="SM-00692"/>
    <s v="Mission_692"/>
    <x v="0"/>
    <x v="0"/>
    <x v="651"/>
    <s v="Tanegashima"/>
    <x v="4"/>
    <x v="0"/>
    <x v="4"/>
    <n v="2"/>
    <n v="794"/>
    <n v="871.46"/>
    <n v="27889"/>
    <x v="0"/>
    <x v="2"/>
    <s v="MEO"/>
    <n v="33"/>
    <n v="59.53"/>
  </r>
  <r>
    <s v="SM-00693"/>
    <s v="Mission_693"/>
    <x v="2"/>
    <x v="4"/>
    <x v="109"/>
    <s v="Jiuquan"/>
    <x v="4"/>
    <x v="2"/>
    <x v="5"/>
    <n v="2"/>
    <n v="1431"/>
    <n v="3818.12"/>
    <n v="39895"/>
    <x v="2"/>
    <x v="2"/>
    <s v="MEO"/>
    <n v="46"/>
    <n v="139.99"/>
  </r>
  <r>
    <s v="SM-00694"/>
    <s v="Mission_694"/>
    <x v="4"/>
    <x v="3"/>
    <x v="652"/>
    <s v="Kourou"/>
    <x v="1"/>
    <x v="1"/>
    <x v="2"/>
    <n v="5"/>
    <n v="571"/>
    <n v="2280.79"/>
    <n v="35252"/>
    <x v="1"/>
    <x v="3"/>
    <s v="MEO"/>
    <n v="10"/>
    <n v="120.5"/>
  </r>
  <r>
    <s v="SM-00695"/>
    <s v="Mission_695"/>
    <x v="0"/>
    <x v="3"/>
    <x v="653"/>
    <s v="Tanegashima"/>
    <x v="3"/>
    <x v="5"/>
    <x v="2"/>
    <n v="7"/>
    <n v="671"/>
    <n v="2601.9"/>
    <n v="34944"/>
    <x v="2"/>
    <x v="1"/>
    <s v="LEO"/>
    <n v="8"/>
    <n v="170.7"/>
  </r>
  <r>
    <s v="SM-00696"/>
    <s v="Mission_696"/>
    <x v="6"/>
    <x v="0"/>
    <x v="654"/>
    <s v="Kennedy"/>
    <x v="4"/>
    <x v="0"/>
    <x v="2"/>
    <n v="4"/>
    <n v="1279"/>
    <n v="1680.32"/>
    <n v="3601"/>
    <x v="0"/>
    <x v="2"/>
    <s v="Transfer Orbit"/>
    <n v="42"/>
    <n v="207.64"/>
  </r>
  <r>
    <s v="SM-00697"/>
    <s v="Mission_697"/>
    <x v="3"/>
    <x v="5"/>
    <x v="655"/>
    <s v="Tanegashima"/>
    <x v="5"/>
    <x v="4"/>
    <x v="2"/>
    <n v="6"/>
    <n v="1135"/>
    <n v="584.54"/>
    <n v="13676"/>
    <x v="1"/>
    <x v="3"/>
    <s v="LEO"/>
    <n v="36"/>
    <n v="128.66999999999999"/>
  </r>
  <r>
    <s v="SM-00698"/>
    <s v="Mission_698"/>
    <x v="2"/>
    <x v="2"/>
    <x v="656"/>
    <s v="Sriharikota"/>
    <x v="0"/>
    <x v="0"/>
    <x v="4"/>
    <n v="1"/>
    <n v="702"/>
    <n v="4118.47"/>
    <n v="24542"/>
    <x v="1"/>
    <x v="2"/>
    <s v="Sun-Synchronous"/>
    <n v="20"/>
    <n v="154.63999999999999"/>
  </r>
  <r>
    <s v="SM-00699"/>
    <s v="Mission_699"/>
    <x v="0"/>
    <x v="3"/>
    <x v="657"/>
    <s v="Tanegashima"/>
    <x v="2"/>
    <x v="4"/>
    <x v="2"/>
    <n v="2"/>
    <n v="330"/>
    <n v="3315.76"/>
    <n v="28506"/>
    <x v="1"/>
    <x v="2"/>
    <s v="Polar"/>
    <n v="1"/>
    <n v="83.48"/>
  </r>
  <r>
    <s v="SM-00700"/>
    <s v="Mission_700"/>
    <x v="6"/>
    <x v="5"/>
    <x v="658"/>
    <s v="Tanegashima"/>
    <x v="4"/>
    <x v="2"/>
    <x v="0"/>
    <n v="6"/>
    <n v="288"/>
    <n v="2093.52"/>
    <n v="27080"/>
    <x v="0"/>
    <x v="0"/>
    <s v="Polar"/>
    <n v="15"/>
    <n v="21.23"/>
  </r>
  <r>
    <s v="SM-00701"/>
    <s v="Mission_701"/>
    <x v="3"/>
    <x v="0"/>
    <x v="182"/>
    <s v="Kourou"/>
    <x v="0"/>
    <x v="2"/>
    <x v="0"/>
    <n v="5"/>
    <n v="1388"/>
    <n v="2169.41"/>
    <n v="34760"/>
    <x v="2"/>
    <x v="3"/>
    <s v="GEO"/>
    <n v="10"/>
    <n v="178.04"/>
  </r>
  <r>
    <s v="SM-00702"/>
    <s v="Mission_702"/>
    <x v="6"/>
    <x v="1"/>
    <x v="659"/>
    <s v="Baikonur"/>
    <x v="4"/>
    <x v="1"/>
    <x v="0"/>
    <n v="3"/>
    <n v="90"/>
    <n v="4851.2700000000004"/>
    <n v="11393"/>
    <x v="1"/>
    <x v="1"/>
    <s v="Polar"/>
    <n v="18"/>
    <n v="9.9"/>
  </r>
  <r>
    <s v="SM-00703"/>
    <s v="Mission_703"/>
    <x v="5"/>
    <x v="2"/>
    <x v="660"/>
    <s v="Jiuquan"/>
    <x v="4"/>
    <x v="3"/>
    <x v="3"/>
    <n v="6"/>
    <n v="129"/>
    <n v="1615.55"/>
    <n v="46571"/>
    <x v="1"/>
    <x v="2"/>
    <s v="GEO"/>
    <n v="25"/>
    <n v="154.66999999999999"/>
  </r>
  <r>
    <s v="SM-00704"/>
    <s v="Mission_704"/>
    <x v="1"/>
    <x v="2"/>
    <x v="30"/>
    <s v="Sriharikota"/>
    <x v="3"/>
    <x v="4"/>
    <x v="3"/>
    <n v="0"/>
    <n v="1270"/>
    <n v="1547.18"/>
    <n v="47072"/>
    <x v="2"/>
    <x v="2"/>
    <s v="MEO"/>
    <n v="45"/>
    <n v="54.87"/>
  </r>
  <r>
    <s v="SM-00705"/>
    <s v="Mission_705"/>
    <x v="0"/>
    <x v="5"/>
    <x v="661"/>
    <s v="Kourou"/>
    <x v="4"/>
    <x v="3"/>
    <x v="0"/>
    <n v="1"/>
    <n v="228"/>
    <n v="3381.19"/>
    <n v="30983"/>
    <x v="1"/>
    <x v="3"/>
    <s v="LEO"/>
    <n v="49"/>
    <n v="57.1"/>
  </r>
  <r>
    <s v="SM-00706"/>
    <s v="Mission_706"/>
    <x v="5"/>
    <x v="5"/>
    <x v="662"/>
    <s v="Kennedy"/>
    <x v="1"/>
    <x v="4"/>
    <x v="5"/>
    <n v="2"/>
    <n v="1045"/>
    <n v="697.89"/>
    <n v="32291"/>
    <x v="0"/>
    <x v="3"/>
    <s v="Transfer Orbit"/>
    <n v="34"/>
    <n v="25.68"/>
  </r>
  <r>
    <s v="SM-00707"/>
    <s v="Mission_707"/>
    <x v="3"/>
    <x v="2"/>
    <x v="663"/>
    <s v="Tanegashima"/>
    <x v="0"/>
    <x v="5"/>
    <x v="5"/>
    <n v="7"/>
    <n v="235"/>
    <n v="2046.5"/>
    <n v="3754"/>
    <x v="0"/>
    <x v="3"/>
    <s v="Transfer Orbit"/>
    <n v="25"/>
    <n v="0.97"/>
  </r>
  <r>
    <s v="SM-00708"/>
    <s v="Mission_708"/>
    <x v="2"/>
    <x v="2"/>
    <x v="466"/>
    <s v="Sriharikota"/>
    <x v="5"/>
    <x v="4"/>
    <x v="4"/>
    <n v="6"/>
    <n v="1064"/>
    <n v="564.02"/>
    <n v="37626"/>
    <x v="0"/>
    <x v="1"/>
    <s v="Sun-Synchronous"/>
    <n v="49"/>
    <n v="46.37"/>
  </r>
  <r>
    <s v="SM-00709"/>
    <s v="Mission_709"/>
    <x v="0"/>
    <x v="4"/>
    <x v="664"/>
    <s v="Kennedy"/>
    <x v="0"/>
    <x v="3"/>
    <x v="0"/>
    <n v="4"/>
    <n v="1135"/>
    <n v="4821.6899999999996"/>
    <n v="3684"/>
    <x v="0"/>
    <x v="3"/>
    <s v="GEO"/>
    <n v="42"/>
    <n v="15.73"/>
  </r>
  <r>
    <s v="SM-00710"/>
    <s v="Mission_710"/>
    <x v="1"/>
    <x v="2"/>
    <x v="665"/>
    <s v="Kourou"/>
    <x v="2"/>
    <x v="1"/>
    <x v="5"/>
    <n v="5"/>
    <n v="815"/>
    <n v="4516.6400000000003"/>
    <n v="5024"/>
    <x v="1"/>
    <x v="1"/>
    <s v="Sun-Synchronous"/>
    <n v="46"/>
    <n v="79.88"/>
  </r>
  <r>
    <s v="SM-00711"/>
    <s v="Mission_711"/>
    <x v="2"/>
    <x v="5"/>
    <x v="666"/>
    <s v="Jiuquan"/>
    <x v="2"/>
    <x v="5"/>
    <x v="1"/>
    <n v="5"/>
    <n v="1084"/>
    <n v="4480.97"/>
    <n v="42624"/>
    <x v="1"/>
    <x v="0"/>
    <s v="Sun-Synchronous"/>
    <n v="32"/>
    <n v="47.64"/>
  </r>
  <r>
    <s v="SM-00712"/>
    <s v="Mission_712"/>
    <x v="0"/>
    <x v="3"/>
    <x v="667"/>
    <s v="Baikonur"/>
    <x v="5"/>
    <x v="5"/>
    <x v="1"/>
    <n v="3"/>
    <n v="90"/>
    <n v="2948.97"/>
    <n v="16944"/>
    <x v="1"/>
    <x v="3"/>
    <s v="Transfer Orbit"/>
    <n v="42"/>
    <n v="99.88"/>
  </r>
  <r>
    <s v="SM-00713"/>
    <s v="Mission_713"/>
    <x v="2"/>
    <x v="3"/>
    <x v="668"/>
    <s v="Baikonur"/>
    <x v="1"/>
    <x v="3"/>
    <x v="1"/>
    <n v="3"/>
    <n v="1452"/>
    <n v="3328.51"/>
    <n v="15839"/>
    <x v="0"/>
    <x v="1"/>
    <s v="GEO"/>
    <n v="30"/>
    <n v="178.43"/>
  </r>
  <r>
    <s v="SM-00714"/>
    <s v="Mission_714"/>
    <x v="1"/>
    <x v="2"/>
    <x v="669"/>
    <s v="Tanegashima"/>
    <x v="3"/>
    <x v="0"/>
    <x v="5"/>
    <n v="6"/>
    <n v="645"/>
    <n v="3059.99"/>
    <n v="48200"/>
    <x v="2"/>
    <x v="1"/>
    <s v="LEO"/>
    <n v="50"/>
    <n v="10.32"/>
  </r>
  <r>
    <s v="SM-00715"/>
    <s v="Mission_715"/>
    <x v="4"/>
    <x v="1"/>
    <x v="554"/>
    <s v="Jiuquan"/>
    <x v="0"/>
    <x v="4"/>
    <x v="0"/>
    <n v="5"/>
    <n v="848"/>
    <n v="2445.02"/>
    <n v="14955"/>
    <x v="1"/>
    <x v="2"/>
    <s v="GEO"/>
    <n v="10"/>
    <n v="248.14"/>
  </r>
  <r>
    <s v="SM-00716"/>
    <s v="Mission_716"/>
    <x v="5"/>
    <x v="4"/>
    <x v="670"/>
    <s v="Kourou"/>
    <x v="3"/>
    <x v="5"/>
    <x v="0"/>
    <n v="4"/>
    <n v="798"/>
    <n v="1294.26"/>
    <n v="31399"/>
    <x v="0"/>
    <x v="3"/>
    <s v="Polar"/>
    <n v="38"/>
    <n v="191.27"/>
  </r>
  <r>
    <s v="SM-00717"/>
    <s v="Mission_717"/>
    <x v="2"/>
    <x v="2"/>
    <x v="671"/>
    <s v="Baikonur"/>
    <x v="5"/>
    <x v="4"/>
    <x v="4"/>
    <n v="2"/>
    <n v="1422"/>
    <n v="3952.36"/>
    <n v="35257"/>
    <x v="1"/>
    <x v="1"/>
    <s v="Transfer Orbit"/>
    <n v="35"/>
    <n v="32.299999999999997"/>
  </r>
  <r>
    <s v="SM-00718"/>
    <s v="Mission_718"/>
    <x v="2"/>
    <x v="2"/>
    <x v="672"/>
    <s v="Sriharikota"/>
    <x v="1"/>
    <x v="5"/>
    <x v="0"/>
    <n v="6"/>
    <n v="870"/>
    <n v="3608.26"/>
    <n v="8376"/>
    <x v="0"/>
    <x v="0"/>
    <s v="GEO"/>
    <n v="13"/>
    <n v="194.52"/>
  </r>
  <r>
    <s v="SM-00719"/>
    <s v="Mission_719"/>
    <x v="4"/>
    <x v="3"/>
    <x v="113"/>
    <s v="Baikonur"/>
    <x v="3"/>
    <x v="2"/>
    <x v="3"/>
    <n v="4"/>
    <n v="1019"/>
    <n v="894.62"/>
    <n v="22434"/>
    <x v="1"/>
    <x v="1"/>
    <s v="GEO"/>
    <n v="40"/>
    <n v="114.08"/>
  </r>
  <r>
    <s v="SM-00720"/>
    <s v="Mission_720"/>
    <x v="2"/>
    <x v="0"/>
    <x v="673"/>
    <s v="Sriharikota"/>
    <x v="1"/>
    <x v="3"/>
    <x v="1"/>
    <n v="4"/>
    <n v="838"/>
    <n v="4325.1499999999996"/>
    <n v="22395"/>
    <x v="0"/>
    <x v="1"/>
    <s v="Polar"/>
    <n v="20"/>
    <n v="35.65"/>
  </r>
  <r>
    <s v="SM-00721"/>
    <s v="Mission_721"/>
    <x v="0"/>
    <x v="5"/>
    <x v="674"/>
    <s v="Baikonur"/>
    <x v="1"/>
    <x v="2"/>
    <x v="0"/>
    <n v="8"/>
    <n v="436"/>
    <n v="2371.37"/>
    <n v="32497"/>
    <x v="0"/>
    <x v="3"/>
    <s v="MEO"/>
    <n v="31"/>
    <n v="40.36"/>
  </r>
  <r>
    <s v="SM-00722"/>
    <s v="Mission_722"/>
    <x v="0"/>
    <x v="2"/>
    <x v="675"/>
    <s v="Tanegashima"/>
    <x v="5"/>
    <x v="5"/>
    <x v="5"/>
    <n v="5"/>
    <n v="1344"/>
    <n v="564"/>
    <n v="40199"/>
    <x v="0"/>
    <x v="1"/>
    <s v="MEO"/>
    <n v="8"/>
    <n v="98.11"/>
  </r>
  <r>
    <s v="SM-00723"/>
    <s v="Mission_723"/>
    <x v="5"/>
    <x v="3"/>
    <x v="676"/>
    <s v="Kourou"/>
    <x v="0"/>
    <x v="1"/>
    <x v="0"/>
    <n v="5"/>
    <n v="1181"/>
    <n v="3487.43"/>
    <n v="49044"/>
    <x v="0"/>
    <x v="1"/>
    <s v="Sun-Synchronous"/>
    <n v="18"/>
    <n v="148.31"/>
  </r>
  <r>
    <s v="SM-00724"/>
    <s v="Mission_724"/>
    <x v="2"/>
    <x v="3"/>
    <x v="677"/>
    <s v="Jiuquan"/>
    <x v="5"/>
    <x v="5"/>
    <x v="1"/>
    <n v="3"/>
    <n v="941"/>
    <n v="3299.21"/>
    <n v="43131"/>
    <x v="0"/>
    <x v="3"/>
    <s v="MEO"/>
    <n v="23"/>
    <n v="46.93"/>
  </r>
  <r>
    <s v="SM-00725"/>
    <s v="Mission_725"/>
    <x v="0"/>
    <x v="3"/>
    <x v="678"/>
    <s v="Sriharikota"/>
    <x v="0"/>
    <x v="0"/>
    <x v="2"/>
    <n v="8"/>
    <n v="643"/>
    <n v="2028.42"/>
    <n v="38987"/>
    <x v="0"/>
    <x v="0"/>
    <s v="GEO"/>
    <n v="39"/>
    <n v="164.8"/>
  </r>
  <r>
    <s v="SM-00726"/>
    <s v="Mission_726"/>
    <x v="2"/>
    <x v="4"/>
    <x v="679"/>
    <s v="Sriharikota"/>
    <x v="0"/>
    <x v="5"/>
    <x v="3"/>
    <n v="0"/>
    <n v="72"/>
    <n v="4743.7299999999996"/>
    <n v="29509"/>
    <x v="1"/>
    <x v="0"/>
    <s v="Transfer Orbit"/>
    <n v="39"/>
    <n v="196.42"/>
  </r>
  <r>
    <s v="SM-00727"/>
    <s v="Mission_727"/>
    <x v="1"/>
    <x v="3"/>
    <x v="13"/>
    <s v="Tanegashima"/>
    <x v="2"/>
    <x v="0"/>
    <x v="2"/>
    <n v="1"/>
    <n v="782"/>
    <n v="4904.72"/>
    <n v="43740"/>
    <x v="1"/>
    <x v="1"/>
    <s v="GEO"/>
    <n v="16"/>
    <n v="62.78"/>
  </r>
  <r>
    <s v="SM-00728"/>
    <s v="Mission_728"/>
    <x v="5"/>
    <x v="2"/>
    <x v="680"/>
    <s v="Kourou"/>
    <x v="3"/>
    <x v="2"/>
    <x v="4"/>
    <n v="6"/>
    <n v="316"/>
    <n v="4959.3999999999996"/>
    <n v="37911"/>
    <x v="1"/>
    <x v="1"/>
    <s v="LEO"/>
    <n v="46"/>
    <n v="113.58"/>
  </r>
  <r>
    <s v="SM-00729"/>
    <s v="Mission_729"/>
    <x v="2"/>
    <x v="1"/>
    <x v="681"/>
    <s v="Sriharikota"/>
    <x v="1"/>
    <x v="2"/>
    <x v="3"/>
    <n v="0"/>
    <n v="580"/>
    <n v="1279.8599999999999"/>
    <n v="19521"/>
    <x v="2"/>
    <x v="3"/>
    <s v="LEO"/>
    <n v="16"/>
    <n v="166.3"/>
  </r>
  <r>
    <s v="SM-00730"/>
    <s v="Mission_730"/>
    <x v="1"/>
    <x v="1"/>
    <x v="682"/>
    <s v="Kennedy"/>
    <x v="5"/>
    <x v="4"/>
    <x v="2"/>
    <n v="4"/>
    <n v="651"/>
    <n v="2873.48"/>
    <n v="2554"/>
    <x v="1"/>
    <x v="2"/>
    <s v="GEO"/>
    <n v="47"/>
    <n v="191.99"/>
  </r>
  <r>
    <s v="SM-00731"/>
    <s v="Mission_731"/>
    <x v="3"/>
    <x v="1"/>
    <x v="683"/>
    <s v="Kennedy"/>
    <x v="1"/>
    <x v="3"/>
    <x v="0"/>
    <n v="3"/>
    <n v="1180"/>
    <n v="3160.98"/>
    <n v="39587"/>
    <x v="2"/>
    <x v="0"/>
    <s v="Polar"/>
    <n v="22"/>
    <n v="124.67"/>
  </r>
  <r>
    <s v="SM-00732"/>
    <s v="Mission_732"/>
    <x v="3"/>
    <x v="1"/>
    <x v="684"/>
    <s v="Jiuquan"/>
    <x v="4"/>
    <x v="3"/>
    <x v="1"/>
    <n v="4"/>
    <n v="1"/>
    <n v="997.37"/>
    <n v="15591"/>
    <x v="1"/>
    <x v="3"/>
    <s v="Polar"/>
    <n v="2"/>
    <n v="179.42"/>
  </r>
  <r>
    <s v="SM-00733"/>
    <s v="Mission_733"/>
    <x v="5"/>
    <x v="4"/>
    <x v="659"/>
    <s v="Kourou"/>
    <x v="1"/>
    <x v="3"/>
    <x v="0"/>
    <n v="2"/>
    <n v="378"/>
    <n v="1559.36"/>
    <n v="43763"/>
    <x v="2"/>
    <x v="1"/>
    <s v="LEO"/>
    <n v="10"/>
    <n v="209.52"/>
  </r>
  <r>
    <s v="SM-00734"/>
    <s v="Mission_734"/>
    <x v="1"/>
    <x v="0"/>
    <x v="685"/>
    <s v="Sriharikota"/>
    <x v="1"/>
    <x v="1"/>
    <x v="4"/>
    <n v="0"/>
    <n v="198"/>
    <n v="2854.06"/>
    <n v="25567"/>
    <x v="1"/>
    <x v="2"/>
    <s v="LEO"/>
    <n v="49"/>
    <n v="240.87"/>
  </r>
  <r>
    <s v="SM-00735"/>
    <s v="Mission_735"/>
    <x v="6"/>
    <x v="1"/>
    <x v="686"/>
    <s v="Tanegashima"/>
    <x v="2"/>
    <x v="0"/>
    <x v="4"/>
    <n v="3"/>
    <n v="130"/>
    <n v="1067.23"/>
    <n v="7090"/>
    <x v="2"/>
    <x v="3"/>
    <s v="GEO"/>
    <n v="26"/>
    <n v="214.6"/>
  </r>
  <r>
    <s v="SM-00736"/>
    <s v="Mission_736"/>
    <x v="0"/>
    <x v="3"/>
    <x v="687"/>
    <s v="Jiuquan"/>
    <x v="3"/>
    <x v="0"/>
    <x v="2"/>
    <n v="1"/>
    <n v="1407"/>
    <n v="4900.8"/>
    <n v="4518"/>
    <x v="0"/>
    <x v="1"/>
    <s v="Transfer Orbit"/>
    <n v="33"/>
    <n v="129.22"/>
  </r>
  <r>
    <s v="SM-00737"/>
    <s v="Mission_737"/>
    <x v="0"/>
    <x v="1"/>
    <x v="688"/>
    <s v="Jiuquan"/>
    <x v="5"/>
    <x v="0"/>
    <x v="4"/>
    <n v="4"/>
    <n v="1283"/>
    <n v="2812.58"/>
    <n v="15993"/>
    <x v="2"/>
    <x v="1"/>
    <s v="Sun-Synchronous"/>
    <n v="32"/>
    <n v="4.45"/>
  </r>
  <r>
    <s v="SM-00738"/>
    <s v="Mission_738"/>
    <x v="3"/>
    <x v="2"/>
    <x v="689"/>
    <s v="Kourou"/>
    <x v="3"/>
    <x v="1"/>
    <x v="4"/>
    <n v="5"/>
    <n v="798"/>
    <n v="3010.73"/>
    <n v="16041"/>
    <x v="1"/>
    <x v="2"/>
    <s v="GEO"/>
    <n v="34"/>
    <n v="13.14"/>
  </r>
  <r>
    <s v="SM-00739"/>
    <s v="Mission_739"/>
    <x v="5"/>
    <x v="0"/>
    <x v="690"/>
    <s v="Baikonur"/>
    <x v="1"/>
    <x v="5"/>
    <x v="3"/>
    <n v="6"/>
    <n v="1331"/>
    <n v="4664.3999999999996"/>
    <n v="27922"/>
    <x v="1"/>
    <x v="2"/>
    <s v="Sun-Synchronous"/>
    <n v="25"/>
    <n v="2.65"/>
  </r>
  <r>
    <s v="SM-00740"/>
    <s v="Mission_740"/>
    <x v="3"/>
    <x v="0"/>
    <x v="691"/>
    <s v="Sriharikota"/>
    <x v="0"/>
    <x v="3"/>
    <x v="3"/>
    <n v="0"/>
    <n v="41"/>
    <n v="1005.66"/>
    <n v="9316"/>
    <x v="2"/>
    <x v="0"/>
    <s v="Sun-Synchronous"/>
    <n v="48"/>
    <n v="204.68"/>
  </r>
  <r>
    <s v="SM-00741"/>
    <s v="Mission_741"/>
    <x v="3"/>
    <x v="5"/>
    <x v="692"/>
    <s v="Tanegashima"/>
    <x v="2"/>
    <x v="5"/>
    <x v="0"/>
    <n v="6"/>
    <n v="557"/>
    <n v="3707.67"/>
    <n v="46365"/>
    <x v="0"/>
    <x v="3"/>
    <s v="GEO"/>
    <n v="50"/>
    <n v="161.79"/>
  </r>
  <r>
    <s v="SM-00742"/>
    <s v="Mission_742"/>
    <x v="5"/>
    <x v="2"/>
    <x v="465"/>
    <s v="Kennedy"/>
    <x v="5"/>
    <x v="0"/>
    <x v="3"/>
    <n v="1"/>
    <n v="251"/>
    <n v="3419.16"/>
    <n v="29946"/>
    <x v="1"/>
    <x v="0"/>
    <s v="MEO"/>
    <n v="27"/>
    <n v="145.29"/>
  </r>
  <r>
    <s v="SM-00743"/>
    <s v="Mission_743"/>
    <x v="1"/>
    <x v="4"/>
    <x v="693"/>
    <s v="Baikonur"/>
    <x v="4"/>
    <x v="1"/>
    <x v="2"/>
    <n v="4"/>
    <n v="182"/>
    <n v="4982.9799999999996"/>
    <n v="27451"/>
    <x v="1"/>
    <x v="2"/>
    <s v="Sun-Synchronous"/>
    <n v="41"/>
    <n v="186.81"/>
  </r>
  <r>
    <s v="SM-00744"/>
    <s v="Mission_744"/>
    <x v="5"/>
    <x v="2"/>
    <x v="694"/>
    <s v="Jiuquan"/>
    <x v="0"/>
    <x v="2"/>
    <x v="3"/>
    <n v="7"/>
    <n v="373"/>
    <n v="4986.95"/>
    <n v="45592"/>
    <x v="2"/>
    <x v="3"/>
    <s v="Sun-Synchronous"/>
    <n v="45"/>
    <n v="41.88"/>
  </r>
  <r>
    <s v="SM-00745"/>
    <s v="Mission_745"/>
    <x v="1"/>
    <x v="5"/>
    <x v="695"/>
    <s v="Jiuquan"/>
    <x v="1"/>
    <x v="4"/>
    <x v="1"/>
    <n v="3"/>
    <n v="54"/>
    <n v="1110.3499999999999"/>
    <n v="10852"/>
    <x v="1"/>
    <x v="2"/>
    <s v="Polar"/>
    <n v="10"/>
    <n v="225.78"/>
  </r>
  <r>
    <s v="SM-00746"/>
    <s v="Mission_746"/>
    <x v="6"/>
    <x v="3"/>
    <x v="696"/>
    <s v="Tanegashima"/>
    <x v="5"/>
    <x v="0"/>
    <x v="4"/>
    <n v="8"/>
    <n v="1243"/>
    <n v="4802.07"/>
    <n v="23304"/>
    <x v="1"/>
    <x v="2"/>
    <s v="Polar"/>
    <n v="43"/>
    <n v="228.14"/>
  </r>
  <r>
    <s v="SM-00747"/>
    <s v="Mission_747"/>
    <x v="0"/>
    <x v="3"/>
    <x v="697"/>
    <s v="Sriharikota"/>
    <x v="4"/>
    <x v="5"/>
    <x v="1"/>
    <n v="6"/>
    <n v="350"/>
    <n v="222.38"/>
    <n v="35995"/>
    <x v="2"/>
    <x v="0"/>
    <s v="Sun-Synchronous"/>
    <n v="1"/>
    <n v="89.52"/>
  </r>
  <r>
    <s v="SM-00748"/>
    <s v="Mission_748"/>
    <x v="4"/>
    <x v="2"/>
    <x v="698"/>
    <s v="Kennedy"/>
    <x v="3"/>
    <x v="1"/>
    <x v="4"/>
    <n v="0"/>
    <n v="1376"/>
    <n v="2979.65"/>
    <n v="23931"/>
    <x v="1"/>
    <x v="2"/>
    <s v="Transfer Orbit"/>
    <n v="49"/>
    <n v="238"/>
  </r>
  <r>
    <s v="SM-00749"/>
    <s v="Mission_749"/>
    <x v="1"/>
    <x v="5"/>
    <x v="699"/>
    <s v="Kennedy"/>
    <x v="5"/>
    <x v="0"/>
    <x v="4"/>
    <n v="7"/>
    <n v="669"/>
    <n v="4821.57"/>
    <n v="45355"/>
    <x v="0"/>
    <x v="1"/>
    <s v="Sun-Synchronous"/>
    <n v="27"/>
    <n v="209.77"/>
  </r>
  <r>
    <s v="SM-00750"/>
    <s v="Mission_750"/>
    <x v="5"/>
    <x v="1"/>
    <x v="700"/>
    <s v="Kourou"/>
    <x v="4"/>
    <x v="0"/>
    <x v="1"/>
    <n v="6"/>
    <n v="1095"/>
    <n v="4001.75"/>
    <n v="27390"/>
    <x v="2"/>
    <x v="1"/>
    <s v="Transfer Orbit"/>
    <n v="25"/>
    <n v="177.14"/>
  </r>
  <r>
    <s v="SM-00751"/>
    <s v="Mission_751"/>
    <x v="0"/>
    <x v="3"/>
    <x v="701"/>
    <s v="Sriharikota"/>
    <x v="3"/>
    <x v="5"/>
    <x v="5"/>
    <n v="8"/>
    <n v="1469"/>
    <n v="2899.31"/>
    <n v="37069"/>
    <x v="1"/>
    <x v="2"/>
    <s v="Transfer Orbit"/>
    <n v="3"/>
    <n v="87.99"/>
  </r>
  <r>
    <s v="SM-00752"/>
    <s v="Mission_752"/>
    <x v="2"/>
    <x v="5"/>
    <x v="702"/>
    <s v="Kourou"/>
    <x v="5"/>
    <x v="3"/>
    <x v="3"/>
    <n v="5"/>
    <n v="485"/>
    <n v="4268.08"/>
    <n v="14351"/>
    <x v="2"/>
    <x v="3"/>
    <s v="Sun-Synchronous"/>
    <n v="1"/>
    <n v="146.85"/>
  </r>
  <r>
    <s v="SM-00753"/>
    <s v="Mission_753"/>
    <x v="1"/>
    <x v="2"/>
    <x v="703"/>
    <s v="Kennedy"/>
    <x v="0"/>
    <x v="2"/>
    <x v="2"/>
    <n v="0"/>
    <n v="265"/>
    <n v="624.11"/>
    <n v="38315"/>
    <x v="2"/>
    <x v="1"/>
    <s v="GEO"/>
    <n v="45"/>
    <n v="92.47"/>
  </r>
  <r>
    <s v="SM-00754"/>
    <s v="Mission_754"/>
    <x v="5"/>
    <x v="0"/>
    <x v="704"/>
    <s v="Kennedy"/>
    <x v="3"/>
    <x v="5"/>
    <x v="5"/>
    <n v="5"/>
    <n v="445"/>
    <n v="3316.19"/>
    <n v="45093"/>
    <x v="1"/>
    <x v="1"/>
    <s v="GEO"/>
    <n v="11"/>
    <n v="50.93"/>
  </r>
  <r>
    <s v="SM-00755"/>
    <s v="Mission_755"/>
    <x v="0"/>
    <x v="1"/>
    <x v="362"/>
    <s v="Kennedy"/>
    <x v="0"/>
    <x v="5"/>
    <x v="0"/>
    <n v="1"/>
    <n v="789"/>
    <n v="2621.74"/>
    <n v="9826"/>
    <x v="0"/>
    <x v="2"/>
    <s v="MEO"/>
    <n v="49"/>
    <n v="105.23"/>
  </r>
  <r>
    <s v="SM-00756"/>
    <s v="Mission_756"/>
    <x v="5"/>
    <x v="2"/>
    <x v="705"/>
    <s v="Kourou"/>
    <x v="2"/>
    <x v="3"/>
    <x v="5"/>
    <n v="8"/>
    <n v="1280"/>
    <n v="2918.5"/>
    <n v="21565"/>
    <x v="0"/>
    <x v="0"/>
    <s v="Polar"/>
    <n v="44"/>
    <n v="21.75"/>
  </r>
  <r>
    <s v="SM-00757"/>
    <s v="Mission_757"/>
    <x v="2"/>
    <x v="0"/>
    <x v="118"/>
    <s v="Baikonur"/>
    <x v="2"/>
    <x v="3"/>
    <x v="5"/>
    <n v="8"/>
    <n v="67"/>
    <n v="1858.63"/>
    <n v="18098"/>
    <x v="2"/>
    <x v="3"/>
    <s v="MEO"/>
    <n v="25"/>
    <n v="224.04"/>
  </r>
  <r>
    <s v="SM-00758"/>
    <s v="Mission_758"/>
    <x v="2"/>
    <x v="2"/>
    <x v="706"/>
    <s v="Baikonur"/>
    <x v="4"/>
    <x v="2"/>
    <x v="1"/>
    <n v="2"/>
    <n v="821"/>
    <n v="1159.46"/>
    <n v="19888"/>
    <x v="0"/>
    <x v="0"/>
    <s v="GEO"/>
    <n v="29"/>
    <n v="59.67"/>
  </r>
  <r>
    <s v="SM-00759"/>
    <s v="Mission_759"/>
    <x v="4"/>
    <x v="1"/>
    <x v="707"/>
    <s v="Baikonur"/>
    <x v="2"/>
    <x v="0"/>
    <x v="0"/>
    <n v="4"/>
    <n v="327"/>
    <n v="1893"/>
    <n v="38627"/>
    <x v="1"/>
    <x v="1"/>
    <s v="GEO"/>
    <n v="13"/>
    <n v="104.07"/>
  </r>
  <r>
    <s v="SM-00760"/>
    <s v="Mission_760"/>
    <x v="6"/>
    <x v="1"/>
    <x v="708"/>
    <s v="Kennedy"/>
    <x v="5"/>
    <x v="2"/>
    <x v="0"/>
    <n v="5"/>
    <n v="1481"/>
    <n v="3145.27"/>
    <n v="11071"/>
    <x v="0"/>
    <x v="1"/>
    <s v="Polar"/>
    <n v="49"/>
    <n v="68.28"/>
  </r>
  <r>
    <s v="SM-00761"/>
    <s v="Mission_761"/>
    <x v="6"/>
    <x v="2"/>
    <x v="709"/>
    <s v="Sriharikota"/>
    <x v="0"/>
    <x v="3"/>
    <x v="2"/>
    <n v="3"/>
    <n v="847"/>
    <n v="2467.34"/>
    <n v="17094"/>
    <x v="2"/>
    <x v="1"/>
    <s v="LEO"/>
    <n v="36"/>
    <n v="38.56"/>
  </r>
  <r>
    <s v="SM-00762"/>
    <s v="Mission_762"/>
    <x v="2"/>
    <x v="3"/>
    <x v="710"/>
    <s v="Baikonur"/>
    <x v="5"/>
    <x v="3"/>
    <x v="1"/>
    <n v="1"/>
    <n v="882"/>
    <n v="3784.47"/>
    <n v="14304"/>
    <x v="1"/>
    <x v="0"/>
    <s v="GEO"/>
    <n v="42"/>
    <n v="17.73"/>
  </r>
  <r>
    <s v="SM-00763"/>
    <s v="Mission_763"/>
    <x v="3"/>
    <x v="4"/>
    <x v="711"/>
    <s v="Sriharikota"/>
    <x v="4"/>
    <x v="2"/>
    <x v="2"/>
    <n v="1"/>
    <n v="354"/>
    <n v="4653.38"/>
    <n v="6795"/>
    <x v="0"/>
    <x v="3"/>
    <s v="LEO"/>
    <n v="34"/>
    <n v="186.86"/>
  </r>
  <r>
    <s v="SM-00764"/>
    <s v="Mission_764"/>
    <x v="3"/>
    <x v="4"/>
    <x v="712"/>
    <s v="Kennedy"/>
    <x v="3"/>
    <x v="5"/>
    <x v="5"/>
    <n v="6"/>
    <n v="855"/>
    <n v="4732.26"/>
    <n v="37902"/>
    <x v="0"/>
    <x v="0"/>
    <s v="MEO"/>
    <n v="4"/>
    <n v="169.76"/>
  </r>
  <r>
    <s v="SM-00765"/>
    <s v="Mission_765"/>
    <x v="0"/>
    <x v="0"/>
    <x v="672"/>
    <s v="Kennedy"/>
    <x v="5"/>
    <x v="2"/>
    <x v="4"/>
    <n v="3"/>
    <n v="9"/>
    <n v="2759.09"/>
    <n v="44650"/>
    <x v="1"/>
    <x v="3"/>
    <s v="MEO"/>
    <n v="39"/>
    <n v="2.95"/>
  </r>
  <r>
    <s v="SM-00766"/>
    <s v="Mission_766"/>
    <x v="6"/>
    <x v="0"/>
    <x v="713"/>
    <s v="Kennedy"/>
    <x v="1"/>
    <x v="0"/>
    <x v="4"/>
    <n v="7"/>
    <n v="1294"/>
    <n v="623.66999999999996"/>
    <n v="5927"/>
    <x v="2"/>
    <x v="3"/>
    <s v="GEO"/>
    <n v="23"/>
    <n v="31.29"/>
  </r>
  <r>
    <s v="SM-00767"/>
    <s v="Mission_767"/>
    <x v="2"/>
    <x v="2"/>
    <x v="714"/>
    <s v="Sriharikota"/>
    <x v="1"/>
    <x v="2"/>
    <x v="5"/>
    <n v="0"/>
    <n v="1328"/>
    <n v="4744.83"/>
    <n v="49088"/>
    <x v="2"/>
    <x v="2"/>
    <s v="Transfer Orbit"/>
    <n v="18"/>
    <n v="200.45"/>
  </r>
  <r>
    <s v="SM-00768"/>
    <s v="Mission_768"/>
    <x v="5"/>
    <x v="2"/>
    <x v="715"/>
    <s v="Kourou"/>
    <x v="2"/>
    <x v="3"/>
    <x v="1"/>
    <n v="6"/>
    <n v="26"/>
    <n v="1885.19"/>
    <n v="10181"/>
    <x v="2"/>
    <x v="1"/>
    <s v="GEO"/>
    <n v="29"/>
    <n v="155.79"/>
  </r>
  <r>
    <s v="SM-00769"/>
    <s v="Mission_769"/>
    <x v="1"/>
    <x v="1"/>
    <x v="716"/>
    <s v="Jiuquan"/>
    <x v="3"/>
    <x v="1"/>
    <x v="0"/>
    <n v="3"/>
    <n v="384"/>
    <n v="4816.0200000000004"/>
    <n v="26046"/>
    <x v="1"/>
    <x v="2"/>
    <s v="Polar"/>
    <n v="23"/>
    <n v="74.59"/>
  </r>
  <r>
    <s v="SM-00770"/>
    <s v="Mission_770"/>
    <x v="5"/>
    <x v="2"/>
    <x v="234"/>
    <s v="Tanegashima"/>
    <x v="4"/>
    <x v="0"/>
    <x v="3"/>
    <n v="5"/>
    <n v="815"/>
    <n v="2845.22"/>
    <n v="6294"/>
    <x v="1"/>
    <x v="1"/>
    <s v="Polar"/>
    <n v="7"/>
    <n v="151.71"/>
  </r>
  <r>
    <s v="SM-00771"/>
    <s v="Mission_771"/>
    <x v="3"/>
    <x v="0"/>
    <x v="717"/>
    <s v="Kennedy"/>
    <x v="4"/>
    <x v="4"/>
    <x v="4"/>
    <n v="8"/>
    <n v="514"/>
    <n v="4032.42"/>
    <n v="32998"/>
    <x v="1"/>
    <x v="2"/>
    <s v="Sun-Synchronous"/>
    <n v="39"/>
    <n v="36.18"/>
  </r>
  <r>
    <s v="SM-00772"/>
    <s v="Mission_772"/>
    <x v="0"/>
    <x v="1"/>
    <x v="292"/>
    <s v="Kourou"/>
    <x v="1"/>
    <x v="5"/>
    <x v="3"/>
    <n v="1"/>
    <n v="195"/>
    <n v="4860.67"/>
    <n v="18899"/>
    <x v="2"/>
    <x v="1"/>
    <s v="Transfer Orbit"/>
    <n v="6"/>
    <n v="5.58"/>
  </r>
  <r>
    <s v="SM-00773"/>
    <s v="Mission_773"/>
    <x v="2"/>
    <x v="3"/>
    <x v="718"/>
    <s v="Baikonur"/>
    <x v="1"/>
    <x v="3"/>
    <x v="3"/>
    <n v="3"/>
    <n v="254"/>
    <n v="3327.93"/>
    <n v="49988"/>
    <x v="1"/>
    <x v="0"/>
    <s v="LEO"/>
    <n v="35"/>
    <n v="155.13"/>
  </r>
  <r>
    <s v="SM-00774"/>
    <s v="Mission_774"/>
    <x v="1"/>
    <x v="2"/>
    <x v="719"/>
    <s v="Tanegashima"/>
    <x v="0"/>
    <x v="2"/>
    <x v="5"/>
    <n v="6"/>
    <n v="732"/>
    <n v="3283.98"/>
    <n v="30655"/>
    <x v="1"/>
    <x v="2"/>
    <s v="LEO"/>
    <n v="41"/>
    <n v="116.04"/>
  </r>
  <r>
    <s v="SM-00775"/>
    <s v="Mission_775"/>
    <x v="2"/>
    <x v="2"/>
    <x v="720"/>
    <s v="Sriharikota"/>
    <x v="2"/>
    <x v="0"/>
    <x v="5"/>
    <n v="8"/>
    <n v="1322"/>
    <n v="3186.91"/>
    <n v="20674"/>
    <x v="2"/>
    <x v="2"/>
    <s v="LEO"/>
    <n v="18"/>
    <n v="81.63"/>
  </r>
  <r>
    <s v="SM-00776"/>
    <s v="Mission_776"/>
    <x v="3"/>
    <x v="1"/>
    <x v="659"/>
    <s v="Baikonur"/>
    <x v="1"/>
    <x v="4"/>
    <x v="5"/>
    <n v="7"/>
    <n v="1499"/>
    <n v="2698.15"/>
    <n v="10950"/>
    <x v="2"/>
    <x v="1"/>
    <s v="GEO"/>
    <n v="16"/>
    <n v="176.96"/>
  </r>
  <r>
    <s v="SM-00777"/>
    <s v="Mission_777"/>
    <x v="1"/>
    <x v="2"/>
    <x v="721"/>
    <s v="Tanegashima"/>
    <x v="5"/>
    <x v="0"/>
    <x v="0"/>
    <n v="0"/>
    <n v="1267"/>
    <n v="2507.23"/>
    <n v="21546"/>
    <x v="2"/>
    <x v="2"/>
    <s v="GEO"/>
    <n v="20"/>
    <n v="23.24"/>
  </r>
  <r>
    <s v="SM-00778"/>
    <s v="Mission_778"/>
    <x v="0"/>
    <x v="2"/>
    <x v="722"/>
    <s v="Tanegashima"/>
    <x v="0"/>
    <x v="4"/>
    <x v="1"/>
    <n v="4"/>
    <n v="876"/>
    <n v="230.99"/>
    <n v="25415"/>
    <x v="0"/>
    <x v="3"/>
    <s v="Sun-Synchronous"/>
    <n v="45"/>
    <n v="81.58"/>
  </r>
  <r>
    <s v="SM-00779"/>
    <s v="Mission_779"/>
    <x v="1"/>
    <x v="1"/>
    <x v="723"/>
    <s v="Kourou"/>
    <x v="2"/>
    <x v="3"/>
    <x v="5"/>
    <n v="0"/>
    <n v="653"/>
    <n v="4545.46"/>
    <n v="4873"/>
    <x v="2"/>
    <x v="0"/>
    <s v="GEO"/>
    <n v="22"/>
    <n v="230.27"/>
  </r>
  <r>
    <s v="SM-00780"/>
    <s v="Mission_780"/>
    <x v="6"/>
    <x v="2"/>
    <x v="724"/>
    <s v="Tanegashima"/>
    <x v="0"/>
    <x v="3"/>
    <x v="3"/>
    <n v="3"/>
    <n v="1284"/>
    <n v="2521.67"/>
    <n v="2242"/>
    <x v="0"/>
    <x v="0"/>
    <s v="Sun-Synchronous"/>
    <n v="25"/>
    <n v="92.78"/>
  </r>
  <r>
    <s v="SM-00781"/>
    <s v="Mission_781"/>
    <x v="4"/>
    <x v="0"/>
    <x v="725"/>
    <s v="Kourou"/>
    <x v="0"/>
    <x v="4"/>
    <x v="5"/>
    <n v="8"/>
    <n v="23"/>
    <n v="3655.44"/>
    <n v="49087"/>
    <x v="2"/>
    <x v="1"/>
    <s v="Sun-Synchronous"/>
    <n v="45"/>
    <n v="76.78"/>
  </r>
  <r>
    <s v="SM-00782"/>
    <s v="Mission_782"/>
    <x v="6"/>
    <x v="3"/>
    <x v="726"/>
    <s v="Sriharikota"/>
    <x v="4"/>
    <x v="4"/>
    <x v="1"/>
    <n v="7"/>
    <n v="1283"/>
    <n v="4425.84"/>
    <n v="29079"/>
    <x v="2"/>
    <x v="1"/>
    <s v="Polar"/>
    <n v="38"/>
    <n v="122.87"/>
  </r>
  <r>
    <s v="SM-00783"/>
    <s v="Mission_783"/>
    <x v="4"/>
    <x v="4"/>
    <x v="727"/>
    <s v="Tanegashima"/>
    <x v="4"/>
    <x v="0"/>
    <x v="5"/>
    <n v="7"/>
    <n v="142"/>
    <n v="2717.38"/>
    <n v="39637"/>
    <x v="0"/>
    <x v="3"/>
    <s v="Transfer Orbit"/>
    <n v="17"/>
    <n v="237.79"/>
  </r>
  <r>
    <s v="SM-00784"/>
    <s v="Mission_784"/>
    <x v="2"/>
    <x v="0"/>
    <x v="728"/>
    <s v="Jiuquan"/>
    <x v="4"/>
    <x v="0"/>
    <x v="3"/>
    <n v="1"/>
    <n v="1257"/>
    <n v="3371.29"/>
    <n v="32385"/>
    <x v="1"/>
    <x v="0"/>
    <s v="GEO"/>
    <n v="13"/>
    <n v="146.83000000000001"/>
  </r>
  <r>
    <s v="SM-00785"/>
    <s v="Mission_785"/>
    <x v="1"/>
    <x v="1"/>
    <x v="729"/>
    <s v="Jiuquan"/>
    <x v="3"/>
    <x v="2"/>
    <x v="2"/>
    <n v="0"/>
    <n v="1283"/>
    <n v="2916.64"/>
    <n v="30104"/>
    <x v="2"/>
    <x v="2"/>
    <s v="Transfer Orbit"/>
    <n v="6"/>
    <n v="52.21"/>
  </r>
  <r>
    <s v="SM-00786"/>
    <s v="Mission_786"/>
    <x v="2"/>
    <x v="3"/>
    <x v="730"/>
    <s v="Tanegashima"/>
    <x v="1"/>
    <x v="5"/>
    <x v="3"/>
    <n v="5"/>
    <n v="1342"/>
    <n v="4029.91"/>
    <n v="44972"/>
    <x v="0"/>
    <x v="0"/>
    <s v="Polar"/>
    <n v="34"/>
    <n v="114.28"/>
  </r>
  <r>
    <s v="SM-00787"/>
    <s v="Mission_787"/>
    <x v="0"/>
    <x v="4"/>
    <x v="731"/>
    <s v="Jiuquan"/>
    <x v="3"/>
    <x v="0"/>
    <x v="3"/>
    <n v="2"/>
    <n v="626"/>
    <n v="864.98"/>
    <n v="18827"/>
    <x v="2"/>
    <x v="1"/>
    <s v="MEO"/>
    <n v="7"/>
    <n v="25.16"/>
  </r>
  <r>
    <s v="SM-00788"/>
    <s v="Mission_788"/>
    <x v="2"/>
    <x v="0"/>
    <x v="732"/>
    <s v="Sriharikota"/>
    <x v="5"/>
    <x v="0"/>
    <x v="0"/>
    <n v="7"/>
    <n v="1496"/>
    <n v="4191.6099999999997"/>
    <n v="34061"/>
    <x v="2"/>
    <x v="2"/>
    <s v="Transfer Orbit"/>
    <n v="22"/>
    <n v="231.47"/>
  </r>
  <r>
    <s v="SM-00789"/>
    <s v="Mission_789"/>
    <x v="4"/>
    <x v="1"/>
    <x v="337"/>
    <s v="Baikonur"/>
    <x v="3"/>
    <x v="4"/>
    <x v="3"/>
    <n v="7"/>
    <n v="1143"/>
    <n v="3666.94"/>
    <n v="47081"/>
    <x v="0"/>
    <x v="2"/>
    <s v="Sun-Synchronous"/>
    <n v="27"/>
    <n v="241.65"/>
  </r>
  <r>
    <s v="SM-00790"/>
    <s v="Mission_790"/>
    <x v="2"/>
    <x v="0"/>
    <x v="733"/>
    <s v="Baikonur"/>
    <x v="4"/>
    <x v="4"/>
    <x v="5"/>
    <n v="7"/>
    <n v="1202"/>
    <n v="2805.78"/>
    <n v="7537"/>
    <x v="2"/>
    <x v="0"/>
    <s v="Transfer Orbit"/>
    <n v="22"/>
    <n v="60.78"/>
  </r>
  <r>
    <s v="SM-00791"/>
    <s v="Mission_791"/>
    <x v="4"/>
    <x v="5"/>
    <x v="734"/>
    <s v="Sriharikota"/>
    <x v="4"/>
    <x v="0"/>
    <x v="3"/>
    <n v="4"/>
    <n v="528"/>
    <n v="4512.59"/>
    <n v="11654"/>
    <x v="0"/>
    <x v="3"/>
    <s v="LEO"/>
    <n v="35"/>
    <n v="9.2100000000000009"/>
  </r>
  <r>
    <s v="SM-00792"/>
    <s v="Mission_792"/>
    <x v="0"/>
    <x v="0"/>
    <x v="677"/>
    <s v="Kourou"/>
    <x v="4"/>
    <x v="0"/>
    <x v="4"/>
    <n v="8"/>
    <n v="911"/>
    <n v="4764.25"/>
    <n v="19261"/>
    <x v="0"/>
    <x v="3"/>
    <s v="LEO"/>
    <n v="4"/>
    <n v="56.51"/>
  </r>
  <r>
    <s v="SM-00793"/>
    <s v="Mission_793"/>
    <x v="1"/>
    <x v="0"/>
    <x v="735"/>
    <s v="Sriharikota"/>
    <x v="0"/>
    <x v="3"/>
    <x v="4"/>
    <n v="1"/>
    <n v="910"/>
    <n v="1544.75"/>
    <n v="49740"/>
    <x v="0"/>
    <x v="0"/>
    <s v="MEO"/>
    <n v="40"/>
    <n v="177.23"/>
  </r>
  <r>
    <s v="SM-00794"/>
    <s v="Mission_794"/>
    <x v="6"/>
    <x v="5"/>
    <x v="736"/>
    <s v="Tanegashima"/>
    <x v="1"/>
    <x v="5"/>
    <x v="5"/>
    <n v="0"/>
    <n v="1185"/>
    <n v="4143.76"/>
    <n v="2483"/>
    <x v="0"/>
    <x v="0"/>
    <s v="MEO"/>
    <n v="38"/>
    <n v="28.1"/>
  </r>
  <r>
    <s v="SM-00795"/>
    <s v="Mission_795"/>
    <x v="2"/>
    <x v="3"/>
    <x v="419"/>
    <s v="Kennedy"/>
    <x v="3"/>
    <x v="2"/>
    <x v="4"/>
    <n v="4"/>
    <n v="37"/>
    <n v="4928.6000000000004"/>
    <n v="42665"/>
    <x v="2"/>
    <x v="3"/>
    <s v="LEO"/>
    <n v="3"/>
    <n v="183.35"/>
  </r>
  <r>
    <s v="SM-00796"/>
    <s v="Mission_796"/>
    <x v="2"/>
    <x v="4"/>
    <x v="580"/>
    <s v="Jiuquan"/>
    <x v="5"/>
    <x v="1"/>
    <x v="5"/>
    <n v="8"/>
    <n v="1370"/>
    <n v="3524.4"/>
    <n v="5673"/>
    <x v="1"/>
    <x v="3"/>
    <s v="Sun-Synchronous"/>
    <n v="31"/>
    <n v="29.19"/>
  </r>
  <r>
    <s v="SM-00797"/>
    <s v="Mission_797"/>
    <x v="1"/>
    <x v="4"/>
    <x v="737"/>
    <s v="Tanegashima"/>
    <x v="0"/>
    <x v="3"/>
    <x v="5"/>
    <n v="5"/>
    <n v="163"/>
    <n v="4422.07"/>
    <n v="6782"/>
    <x v="0"/>
    <x v="2"/>
    <s v="MEO"/>
    <n v="36"/>
    <n v="33.86"/>
  </r>
  <r>
    <s v="SM-00798"/>
    <s v="Mission_798"/>
    <x v="5"/>
    <x v="5"/>
    <x v="738"/>
    <s v="Kourou"/>
    <x v="4"/>
    <x v="2"/>
    <x v="1"/>
    <n v="2"/>
    <n v="476"/>
    <n v="3787.22"/>
    <n v="46505"/>
    <x v="2"/>
    <x v="3"/>
    <s v="Transfer Orbit"/>
    <n v="15"/>
    <n v="76.709999999999994"/>
  </r>
  <r>
    <s v="SM-00799"/>
    <s v="Mission_799"/>
    <x v="5"/>
    <x v="2"/>
    <x v="739"/>
    <s v="Sriharikota"/>
    <x v="2"/>
    <x v="5"/>
    <x v="4"/>
    <n v="8"/>
    <n v="1126"/>
    <n v="1578.95"/>
    <n v="17813"/>
    <x v="1"/>
    <x v="2"/>
    <s v="MEO"/>
    <n v="2"/>
    <n v="227.48"/>
  </r>
  <r>
    <s v="SM-00800"/>
    <s v="Mission_800"/>
    <x v="2"/>
    <x v="2"/>
    <x v="740"/>
    <s v="Baikonur"/>
    <x v="2"/>
    <x v="1"/>
    <x v="1"/>
    <n v="3"/>
    <n v="619"/>
    <n v="1886.53"/>
    <n v="28867"/>
    <x v="1"/>
    <x v="3"/>
    <s v="Transfer Orbit"/>
    <n v="29"/>
    <n v="187.31"/>
  </r>
  <r>
    <s v="SM-00801"/>
    <s v="Mission_801"/>
    <x v="3"/>
    <x v="1"/>
    <x v="472"/>
    <s v="Baikonur"/>
    <x v="0"/>
    <x v="3"/>
    <x v="2"/>
    <n v="1"/>
    <n v="1401"/>
    <n v="3641.44"/>
    <n v="35854"/>
    <x v="1"/>
    <x v="2"/>
    <s v="MEO"/>
    <n v="8"/>
    <n v="100.05"/>
  </r>
  <r>
    <s v="SM-00802"/>
    <s v="Mission_802"/>
    <x v="1"/>
    <x v="1"/>
    <x v="741"/>
    <s v="Jiuquan"/>
    <x v="5"/>
    <x v="3"/>
    <x v="5"/>
    <n v="2"/>
    <n v="767"/>
    <n v="4134"/>
    <n v="6158"/>
    <x v="0"/>
    <x v="1"/>
    <s v="GEO"/>
    <n v="5"/>
    <n v="133.11000000000001"/>
  </r>
  <r>
    <s v="SM-00803"/>
    <s v="Mission_803"/>
    <x v="5"/>
    <x v="0"/>
    <x v="742"/>
    <s v="Baikonur"/>
    <x v="0"/>
    <x v="0"/>
    <x v="0"/>
    <n v="2"/>
    <n v="703"/>
    <n v="3015.01"/>
    <n v="17452"/>
    <x v="2"/>
    <x v="1"/>
    <s v="Transfer Orbit"/>
    <n v="30"/>
    <n v="63.67"/>
  </r>
  <r>
    <s v="SM-00804"/>
    <s v="Mission_804"/>
    <x v="4"/>
    <x v="5"/>
    <x v="743"/>
    <s v="Tanegashima"/>
    <x v="5"/>
    <x v="5"/>
    <x v="4"/>
    <n v="8"/>
    <n v="972"/>
    <n v="1688.91"/>
    <n v="31787"/>
    <x v="2"/>
    <x v="2"/>
    <s v="MEO"/>
    <n v="5"/>
    <n v="78.510000000000005"/>
  </r>
  <r>
    <s v="SM-00805"/>
    <s v="Mission_805"/>
    <x v="3"/>
    <x v="4"/>
    <x v="744"/>
    <s v="Kourou"/>
    <x v="3"/>
    <x v="3"/>
    <x v="1"/>
    <n v="8"/>
    <n v="1441"/>
    <n v="3361.42"/>
    <n v="43033"/>
    <x v="1"/>
    <x v="0"/>
    <s v="GEO"/>
    <n v="19"/>
    <n v="45.5"/>
  </r>
  <r>
    <s v="SM-00806"/>
    <s v="Mission_806"/>
    <x v="2"/>
    <x v="5"/>
    <x v="745"/>
    <s v="Kourou"/>
    <x v="2"/>
    <x v="2"/>
    <x v="0"/>
    <n v="0"/>
    <n v="837"/>
    <n v="2161.39"/>
    <n v="42866"/>
    <x v="0"/>
    <x v="2"/>
    <s v="LEO"/>
    <n v="15"/>
    <n v="224.39"/>
  </r>
  <r>
    <s v="SM-00807"/>
    <s v="Mission_807"/>
    <x v="6"/>
    <x v="2"/>
    <x v="510"/>
    <s v="Sriharikota"/>
    <x v="1"/>
    <x v="5"/>
    <x v="3"/>
    <n v="4"/>
    <n v="850"/>
    <n v="408.01"/>
    <n v="18939"/>
    <x v="2"/>
    <x v="2"/>
    <s v="Transfer Orbit"/>
    <n v="8"/>
    <n v="230.29"/>
  </r>
  <r>
    <s v="SM-00808"/>
    <s v="Mission_808"/>
    <x v="4"/>
    <x v="1"/>
    <x v="746"/>
    <s v="Kennedy"/>
    <x v="1"/>
    <x v="2"/>
    <x v="3"/>
    <n v="3"/>
    <n v="1082"/>
    <n v="3067.9"/>
    <n v="13065"/>
    <x v="0"/>
    <x v="3"/>
    <s v="Sun-Synchronous"/>
    <n v="1"/>
    <n v="60.87"/>
  </r>
  <r>
    <s v="SM-00809"/>
    <s v="Mission_809"/>
    <x v="5"/>
    <x v="2"/>
    <x v="747"/>
    <s v="Tanegashima"/>
    <x v="0"/>
    <x v="3"/>
    <x v="4"/>
    <n v="8"/>
    <n v="1202"/>
    <n v="1492.79"/>
    <n v="12137"/>
    <x v="2"/>
    <x v="0"/>
    <s v="Transfer Orbit"/>
    <n v="7"/>
    <n v="48.62"/>
  </r>
  <r>
    <s v="SM-00810"/>
    <s v="Mission_810"/>
    <x v="0"/>
    <x v="3"/>
    <x v="748"/>
    <s v="Kourou"/>
    <x v="3"/>
    <x v="4"/>
    <x v="5"/>
    <n v="7"/>
    <n v="859"/>
    <n v="3006.69"/>
    <n v="47378"/>
    <x v="2"/>
    <x v="3"/>
    <s v="GEO"/>
    <n v="3"/>
    <n v="127"/>
  </r>
  <r>
    <s v="SM-00811"/>
    <s v="Mission_811"/>
    <x v="1"/>
    <x v="2"/>
    <x v="749"/>
    <s v="Kennedy"/>
    <x v="3"/>
    <x v="5"/>
    <x v="1"/>
    <n v="0"/>
    <n v="924"/>
    <n v="2619.5300000000002"/>
    <n v="47097"/>
    <x v="0"/>
    <x v="0"/>
    <s v="LEO"/>
    <n v="21"/>
    <n v="71.31"/>
  </r>
  <r>
    <s v="SM-00812"/>
    <s v="Mission_812"/>
    <x v="6"/>
    <x v="0"/>
    <x v="750"/>
    <s v="Tanegashima"/>
    <x v="4"/>
    <x v="1"/>
    <x v="2"/>
    <n v="0"/>
    <n v="791"/>
    <n v="4423.5600000000004"/>
    <n v="2359"/>
    <x v="2"/>
    <x v="2"/>
    <s v="LEO"/>
    <n v="29"/>
    <n v="190.79"/>
  </r>
  <r>
    <s v="SM-00813"/>
    <s v="Mission_813"/>
    <x v="1"/>
    <x v="0"/>
    <x v="751"/>
    <s v="Tanegashima"/>
    <x v="3"/>
    <x v="1"/>
    <x v="0"/>
    <n v="6"/>
    <n v="1140"/>
    <n v="2004.76"/>
    <n v="38579"/>
    <x v="2"/>
    <x v="2"/>
    <s v="LEO"/>
    <n v="8"/>
    <n v="210.49"/>
  </r>
  <r>
    <s v="SM-00814"/>
    <s v="Mission_814"/>
    <x v="1"/>
    <x v="2"/>
    <x v="752"/>
    <s v="Kourou"/>
    <x v="2"/>
    <x v="1"/>
    <x v="5"/>
    <n v="7"/>
    <n v="531"/>
    <n v="1353.05"/>
    <n v="24676"/>
    <x v="2"/>
    <x v="3"/>
    <s v="MEO"/>
    <n v="17"/>
    <n v="14.11"/>
  </r>
  <r>
    <s v="SM-00815"/>
    <s v="Mission_815"/>
    <x v="3"/>
    <x v="5"/>
    <x v="753"/>
    <s v="Jiuquan"/>
    <x v="2"/>
    <x v="2"/>
    <x v="2"/>
    <n v="2"/>
    <n v="1274"/>
    <n v="1009.92"/>
    <n v="22083"/>
    <x v="1"/>
    <x v="0"/>
    <s v="Polar"/>
    <n v="30"/>
    <n v="219.8"/>
  </r>
  <r>
    <s v="SM-00816"/>
    <s v="Mission_816"/>
    <x v="6"/>
    <x v="4"/>
    <x v="754"/>
    <s v="Tanegashima"/>
    <x v="0"/>
    <x v="4"/>
    <x v="5"/>
    <n v="4"/>
    <n v="296"/>
    <n v="3300.33"/>
    <n v="4782"/>
    <x v="2"/>
    <x v="3"/>
    <s v="Sun-Synchronous"/>
    <n v="29"/>
    <n v="224.04"/>
  </r>
  <r>
    <s v="SM-00817"/>
    <s v="Mission_817"/>
    <x v="3"/>
    <x v="5"/>
    <x v="755"/>
    <s v="Tanegashima"/>
    <x v="4"/>
    <x v="2"/>
    <x v="1"/>
    <n v="2"/>
    <n v="559"/>
    <n v="3307.97"/>
    <n v="41740"/>
    <x v="1"/>
    <x v="0"/>
    <s v="Sun-Synchronous"/>
    <n v="1"/>
    <n v="215.73"/>
  </r>
  <r>
    <s v="SM-00818"/>
    <s v="Mission_818"/>
    <x v="6"/>
    <x v="4"/>
    <x v="137"/>
    <s v="Jiuquan"/>
    <x v="1"/>
    <x v="4"/>
    <x v="2"/>
    <n v="7"/>
    <n v="1051"/>
    <n v="2181.6"/>
    <n v="6540"/>
    <x v="0"/>
    <x v="1"/>
    <s v="Transfer Orbit"/>
    <n v="32"/>
    <n v="197.5"/>
  </r>
  <r>
    <s v="SM-00819"/>
    <s v="Mission_819"/>
    <x v="1"/>
    <x v="3"/>
    <x v="756"/>
    <s v="Baikonur"/>
    <x v="4"/>
    <x v="2"/>
    <x v="3"/>
    <n v="0"/>
    <n v="1203"/>
    <n v="2032.12"/>
    <n v="37344"/>
    <x v="1"/>
    <x v="3"/>
    <s v="GEO"/>
    <n v="36"/>
    <n v="41.41"/>
  </r>
  <r>
    <s v="SM-00820"/>
    <s v="Mission_820"/>
    <x v="0"/>
    <x v="4"/>
    <x v="757"/>
    <s v="Kennedy"/>
    <x v="4"/>
    <x v="2"/>
    <x v="0"/>
    <n v="8"/>
    <n v="1303"/>
    <n v="437.9"/>
    <n v="16887"/>
    <x v="0"/>
    <x v="2"/>
    <s v="Polar"/>
    <n v="41"/>
    <n v="43.74"/>
  </r>
  <r>
    <s v="SM-00821"/>
    <s v="Mission_821"/>
    <x v="1"/>
    <x v="0"/>
    <x v="758"/>
    <s v="Kourou"/>
    <x v="3"/>
    <x v="5"/>
    <x v="3"/>
    <n v="0"/>
    <n v="1183"/>
    <n v="1124.73"/>
    <n v="6308"/>
    <x v="2"/>
    <x v="2"/>
    <s v="Sun-Synchronous"/>
    <n v="7"/>
    <n v="86.9"/>
  </r>
  <r>
    <s v="SM-00822"/>
    <s v="Mission_822"/>
    <x v="1"/>
    <x v="0"/>
    <x v="759"/>
    <s v="Kennedy"/>
    <x v="4"/>
    <x v="5"/>
    <x v="0"/>
    <n v="5"/>
    <n v="638"/>
    <n v="4263.33"/>
    <n v="37853"/>
    <x v="0"/>
    <x v="1"/>
    <s v="Sun-Synchronous"/>
    <n v="16"/>
    <n v="170.17"/>
  </r>
  <r>
    <s v="SM-00823"/>
    <s v="Mission_823"/>
    <x v="1"/>
    <x v="4"/>
    <x v="760"/>
    <s v="Tanegashima"/>
    <x v="4"/>
    <x v="3"/>
    <x v="4"/>
    <n v="3"/>
    <n v="318"/>
    <n v="2463.37"/>
    <n v="45004"/>
    <x v="2"/>
    <x v="2"/>
    <s v="GEO"/>
    <n v="35"/>
    <n v="19.239999999999998"/>
  </r>
  <r>
    <s v="SM-00824"/>
    <s v="Mission_824"/>
    <x v="4"/>
    <x v="4"/>
    <x v="761"/>
    <s v="Sriharikota"/>
    <x v="3"/>
    <x v="2"/>
    <x v="5"/>
    <n v="8"/>
    <n v="403"/>
    <n v="284.04000000000002"/>
    <n v="28376"/>
    <x v="1"/>
    <x v="1"/>
    <s v="Sun-Synchronous"/>
    <n v="24"/>
    <n v="137.65"/>
  </r>
  <r>
    <s v="SM-00825"/>
    <s v="Mission_825"/>
    <x v="2"/>
    <x v="5"/>
    <x v="762"/>
    <s v="Sriharikota"/>
    <x v="4"/>
    <x v="2"/>
    <x v="5"/>
    <n v="5"/>
    <n v="1171"/>
    <n v="1791.36"/>
    <n v="10411"/>
    <x v="1"/>
    <x v="2"/>
    <s v="MEO"/>
    <n v="29"/>
    <n v="151.27000000000001"/>
  </r>
  <r>
    <s v="SM-00826"/>
    <s v="Mission_826"/>
    <x v="3"/>
    <x v="0"/>
    <x v="763"/>
    <s v="Sriharikota"/>
    <x v="2"/>
    <x v="2"/>
    <x v="5"/>
    <n v="6"/>
    <n v="1250"/>
    <n v="4867.57"/>
    <n v="20339"/>
    <x v="0"/>
    <x v="2"/>
    <s v="LEO"/>
    <n v="15"/>
    <n v="203.29"/>
  </r>
  <r>
    <s v="SM-00827"/>
    <s v="Mission_827"/>
    <x v="3"/>
    <x v="5"/>
    <x v="764"/>
    <s v="Jiuquan"/>
    <x v="4"/>
    <x v="3"/>
    <x v="5"/>
    <n v="7"/>
    <n v="66"/>
    <n v="1106.94"/>
    <n v="33215"/>
    <x v="0"/>
    <x v="3"/>
    <s v="Sun-Synchronous"/>
    <n v="39"/>
    <n v="112.28"/>
  </r>
  <r>
    <s v="SM-00828"/>
    <s v="Mission_828"/>
    <x v="0"/>
    <x v="5"/>
    <x v="280"/>
    <s v="Kourou"/>
    <x v="3"/>
    <x v="4"/>
    <x v="2"/>
    <n v="6"/>
    <n v="297"/>
    <n v="4019.63"/>
    <n v="31264"/>
    <x v="1"/>
    <x v="0"/>
    <s v="MEO"/>
    <n v="24"/>
    <n v="100.08"/>
  </r>
  <r>
    <s v="SM-00829"/>
    <s v="Mission_829"/>
    <x v="3"/>
    <x v="2"/>
    <x v="765"/>
    <s v="Jiuquan"/>
    <x v="0"/>
    <x v="5"/>
    <x v="1"/>
    <n v="8"/>
    <n v="1458"/>
    <n v="191.01"/>
    <n v="34565"/>
    <x v="1"/>
    <x v="2"/>
    <s v="Sun-Synchronous"/>
    <n v="10"/>
    <n v="51.2"/>
  </r>
  <r>
    <s v="SM-00830"/>
    <s v="Mission_830"/>
    <x v="5"/>
    <x v="4"/>
    <x v="766"/>
    <s v="Baikonur"/>
    <x v="5"/>
    <x v="2"/>
    <x v="2"/>
    <n v="3"/>
    <n v="217"/>
    <n v="3330.6"/>
    <n v="24066"/>
    <x v="1"/>
    <x v="3"/>
    <s v="Polar"/>
    <n v="27"/>
    <n v="213.56"/>
  </r>
  <r>
    <s v="SM-00831"/>
    <s v="Mission_831"/>
    <x v="1"/>
    <x v="0"/>
    <x v="767"/>
    <s v="Tanegashima"/>
    <x v="2"/>
    <x v="5"/>
    <x v="2"/>
    <n v="6"/>
    <n v="1486"/>
    <n v="1118.3499999999999"/>
    <n v="6185"/>
    <x v="0"/>
    <x v="1"/>
    <s v="Transfer Orbit"/>
    <n v="7"/>
    <n v="75.17"/>
  </r>
  <r>
    <s v="SM-00832"/>
    <s v="Mission_832"/>
    <x v="4"/>
    <x v="1"/>
    <x v="768"/>
    <s v="Tanegashima"/>
    <x v="1"/>
    <x v="3"/>
    <x v="3"/>
    <n v="5"/>
    <n v="341"/>
    <n v="2618.12"/>
    <n v="23361"/>
    <x v="1"/>
    <x v="0"/>
    <s v="LEO"/>
    <n v="36"/>
    <n v="151.86000000000001"/>
  </r>
  <r>
    <s v="SM-00833"/>
    <s v="Mission_833"/>
    <x v="0"/>
    <x v="3"/>
    <x v="769"/>
    <s v="Kennedy"/>
    <x v="1"/>
    <x v="4"/>
    <x v="4"/>
    <n v="6"/>
    <n v="519"/>
    <n v="696.56"/>
    <n v="35857"/>
    <x v="0"/>
    <x v="3"/>
    <s v="GEO"/>
    <n v="12"/>
    <n v="183.97"/>
  </r>
  <r>
    <s v="SM-00834"/>
    <s v="Mission_834"/>
    <x v="0"/>
    <x v="4"/>
    <x v="770"/>
    <s v="Kennedy"/>
    <x v="5"/>
    <x v="4"/>
    <x v="5"/>
    <n v="2"/>
    <n v="1443"/>
    <n v="3956.59"/>
    <n v="16009"/>
    <x v="0"/>
    <x v="2"/>
    <s v="Sun-Synchronous"/>
    <n v="29"/>
    <n v="198.85"/>
  </r>
  <r>
    <s v="SM-00835"/>
    <s v="Mission_835"/>
    <x v="4"/>
    <x v="0"/>
    <x v="771"/>
    <s v="Kourou"/>
    <x v="3"/>
    <x v="1"/>
    <x v="3"/>
    <n v="1"/>
    <n v="868"/>
    <n v="1168.26"/>
    <n v="5182"/>
    <x v="2"/>
    <x v="0"/>
    <s v="GEO"/>
    <n v="21"/>
    <n v="18.88"/>
  </r>
  <r>
    <s v="SM-00836"/>
    <s v="Mission_836"/>
    <x v="3"/>
    <x v="1"/>
    <x v="772"/>
    <s v="Kennedy"/>
    <x v="5"/>
    <x v="4"/>
    <x v="5"/>
    <n v="0"/>
    <n v="1418"/>
    <n v="4050.34"/>
    <n v="35631"/>
    <x v="0"/>
    <x v="2"/>
    <s v="Polar"/>
    <n v="49"/>
    <n v="249.97"/>
  </r>
  <r>
    <s v="SM-00837"/>
    <s v="Mission_837"/>
    <x v="6"/>
    <x v="2"/>
    <x v="773"/>
    <s v="Kennedy"/>
    <x v="0"/>
    <x v="5"/>
    <x v="1"/>
    <n v="6"/>
    <n v="1285"/>
    <n v="4772.6099999999997"/>
    <n v="20539"/>
    <x v="2"/>
    <x v="1"/>
    <s v="LEO"/>
    <n v="40"/>
    <n v="183.93"/>
  </r>
  <r>
    <s v="SM-00838"/>
    <s v="Mission_838"/>
    <x v="2"/>
    <x v="0"/>
    <x v="774"/>
    <s v="Kennedy"/>
    <x v="1"/>
    <x v="5"/>
    <x v="5"/>
    <n v="5"/>
    <n v="1490"/>
    <n v="4721.26"/>
    <n v="5738"/>
    <x v="2"/>
    <x v="0"/>
    <s v="MEO"/>
    <n v="12"/>
    <n v="189.03"/>
  </r>
  <r>
    <s v="SM-00839"/>
    <s v="Mission_839"/>
    <x v="5"/>
    <x v="0"/>
    <x v="775"/>
    <s v="Kourou"/>
    <x v="5"/>
    <x v="4"/>
    <x v="3"/>
    <n v="8"/>
    <n v="1234"/>
    <n v="2552.52"/>
    <n v="4167"/>
    <x v="0"/>
    <x v="2"/>
    <s v="LEO"/>
    <n v="31"/>
    <n v="187.95"/>
  </r>
  <r>
    <s v="SM-00840"/>
    <s v="Mission_840"/>
    <x v="1"/>
    <x v="2"/>
    <x v="776"/>
    <s v="Sriharikota"/>
    <x v="1"/>
    <x v="0"/>
    <x v="3"/>
    <n v="3"/>
    <n v="335"/>
    <n v="3387.3"/>
    <n v="19720"/>
    <x v="1"/>
    <x v="0"/>
    <s v="Sun-Synchronous"/>
    <n v="40"/>
    <n v="224.95"/>
  </r>
  <r>
    <s v="SM-00841"/>
    <s v="Mission_841"/>
    <x v="0"/>
    <x v="4"/>
    <x v="777"/>
    <s v="Kourou"/>
    <x v="4"/>
    <x v="5"/>
    <x v="1"/>
    <n v="8"/>
    <n v="485"/>
    <n v="1948.69"/>
    <n v="34500"/>
    <x v="0"/>
    <x v="2"/>
    <s v="LEO"/>
    <n v="2"/>
    <n v="65.09"/>
  </r>
  <r>
    <s v="SM-00842"/>
    <s v="Mission_842"/>
    <x v="4"/>
    <x v="1"/>
    <x v="778"/>
    <s v="Baikonur"/>
    <x v="2"/>
    <x v="1"/>
    <x v="3"/>
    <n v="2"/>
    <n v="155"/>
    <n v="4568.07"/>
    <n v="34773"/>
    <x v="0"/>
    <x v="3"/>
    <s v="MEO"/>
    <n v="8"/>
    <n v="180.63"/>
  </r>
  <r>
    <s v="SM-00843"/>
    <s v="Mission_843"/>
    <x v="2"/>
    <x v="3"/>
    <x v="184"/>
    <s v="Tanegashima"/>
    <x v="1"/>
    <x v="5"/>
    <x v="2"/>
    <n v="5"/>
    <n v="117"/>
    <n v="3674"/>
    <n v="929"/>
    <x v="0"/>
    <x v="3"/>
    <s v="LEO"/>
    <n v="12"/>
    <n v="196.93"/>
  </r>
  <r>
    <s v="SM-00844"/>
    <s v="Mission_844"/>
    <x v="2"/>
    <x v="4"/>
    <x v="779"/>
    <s v="Sriharikota"/>
    <x v="0"/>
    <x v="3"/>
    <x v="5"/>
    <n v="7"/>
    <n v="498"/>
    <n v="1104.07"/>
    <n v="8412"/>
    <x v="2"/>
    <x v="2"/>
    <s v="Transfer Orbit"/>
    <n v="13"/>
    <n v="162.49"/>
  </r>
  <r>
    <s v="SM-00845"/>
    <s v="Mission_845"/>
    <x v="4"/>
    <x v="4"/>
    <x v="780"/>
    <s v="Kennedy"/>
    <x v="2"/>
    <x v="2"/>
    <x v="3"/>
    <n v="7"/>
    <n v="1280"/>
    <n v="4424.82"/>
    <n v="49915"/>
    <x v="0"/>
    <x v="1"/>
    <s v="Polar"/>
    <n v="48"/>
    <n v="112.23"/>
  </r>
  <r>
    <s v="SM-00846"/>
    <s v="Mission_846"/>
    <x v="1"/>
    <x v="2"/>
    <x v="781"/>
    <s v="Kourou"/>
    <x v="5"/>
    <x v="2"/>
    <x v="0"/>
    <n v="1"/>
    <n v="904"/>
    <n v="4150.8900000000003"/>
    <n v="43996"/>
    <x v="0"/>
    <x v="0"/>
    <s v="GEO"/>
    <n v="28"/>
    <n v="132.71"/>
  </r>
  <r>
    <s v="SM-00847"/>
    <s v="Mission_847"/>
    <x v="4"/>
    <x v="2"/>
    <x v="782"/>
    <s v="Tanegashima"/>
    <x v="1"/>
    <x v="0"/>
    <x v="1"/>
    <n v="6"/>
    <n v="333"/>
    <n v="1480.29"/>
    <n v="32238"/>
    <x v="1"/>
    <x v="3"/>
    <s v="LEO"/>
    <n v="5"/>
    <n v="241.85"/>
  </r>
  <r>
    <s v="SM-00848"/>
    <s v="Mission_848"/>
    <x v="3"/>
    <x v="5"/>
    <x v="783"/>
    <s v="Kennedy"/>
    <x v="4"/>
    <x v="3"/>
    <x v="3"/>
    <n v="1"/>
    <n v="1033"/>
    <n v="4303.3"/>
    <n v="1675"/>
    <x v="0"/>
    <x v="0"/>
    <s v="Polar"/>
    <n v="10"/>
    <n v="137.28"/>
  </r>
  <r>
    <s v="SM-00849"/>
    <s v="Mission_849"/>
    <x v="6"/>
    <x v="3"/>
    <x v="660"/>
    <s v="Baikonur"/>
    <x v="1"/>
    <x v="3"/>
    <x v="5"/>
    <n v="3"/>
    <n v="875"/>
    <n v="3668.9"/>
    <n v="8644"/>
    <x v="1"/>
    <x v="2"/>
    <s v="MEO"/>
    <n v="35"/>
    <n v="66.89"/>
  </r>
  <r>
    <s v="SM-00850"/>
    <s v="Mission_850"/>
    <x v="0"/>
    <x v="4"/>
    <x v="784"/>
    <s v="Baikonur"/>
    <x v="5"/>
    <x v="4"/>
    <x v="1"/>
    <n v="3"/>
    <n v="1352"/>
    <n v="924.5"/>
    <n v="3550"/>
    <x v="1"/>
    <x v="0"/>
    <s v="Polar"/>
    <n v="23"/>
    <n v="52.76"/>
  </r>
  <r>
    <s v="SM-00851"/>
    <s v="Mission_851"/>
    <x v="6"/>
    <x v="5"/>
    <x v="453"/>
    <s v="Kourou"/>
    <x v="0"/>
    <x v="0"/>
    <x v="4"/>
    <n v="0"/>
    <n v="362"/>
    <n v="4597.0600000000004"/>
    <n v="6849"/>
    <x v="1"/>
    <x v="0"/>
    <s v="GEO"/>
    <n v="43"/>
    <n v="11.05"/>
  </r>
  <r>
    <s v="SM-00852"/>
    <s v="Mission_852"/>
    <x v="4"/>
    <x v="2"/>
    <x v="660"/>
    <s v="Kourou"/>
    <x v="1"/>
    <x v="3"/>
    <x v="4"/>
    <n v="2"/>
    <n v="1275"/>
    <n v="2428.62"/>
    <n v="15329"/>
    <x v="1"/>
    <x v="0"/>
    <s v="LEO"/>
    <n v="12"/>
    <n v="221.92"/>
  </r>
  <r>
    <s v="SM-00853"/>
    <s v="Mission_853"/>
    <x v="6"/>
    <x v="4"/>
    <x v="785"/>
    <s v="Sriharikota"/>
    <x v="0"/>
    <x v="1"/>
    <x v="1"/>
    <n v="5"/>
    <n v="1034"/>
    <n v="380.72"/>
    <n v="45537"/>
    <x v="2"/>
    <x v="1"/>
    <s v="MEO"/>
    <n v="16"/>
    <n v="91.84"/>
  </r>
  <r>
    <s v="SM-00854"/>
    <s v="Mission_854"/>
    <x v="2"/>
    <x v="0"/>
    <x v="786"/>
    <s v="Sriharikota"/>
    <x v="3"/>
    <x v="1"/>
    <x v="3"/>
    <n v="8"/>
    <n v="663"/>
    <n v="494.23"/>
    <n v="25743"/>
    <x v="0"/>
    <x v="1"/>
    <s v="Polar"/>
    <n v="6"/>
    <n v="222.09"/>
  </r>
  <r>
    <s v="SM-00855"/>
    <s v="Mission_855"/>
    <x v="5"/>
    <x v="4"/>
    <x v="787"/>
    <s v="Baikonur"/>
    <x v="2"/>
    <x v="2"/>
    <x v="3"/>
    <n v="4"/>
    <n v="43"/>
    <n v="1838"/>
    <n v="43875"/>
    <x v="2"/>
    <x v="1"/>
    <s v="Transfer Orbit"/>
    <n v="31"/>
    <n v="77.760000000000005"/>
  </r>
  <r>
    <s v="SM-00856"/>
    <s v="Mission_856"/>
    <x v="6"/>
    <x v="1"/>
    <x v="788"/>
    <s v="Jiuquan"/>
    <x v="1"/>
    <x v="0"/>
    <x v="4"/>
    <n v="0"/>
    <n v="658"/>
    <n v="3714.83"/>
    <n v="49999"/>
    <x v="1"/>
    <x v="2"/>
    <s v="Transfer Orbit"/>
    <n v="17"/>
    <n v="58.23"/>
  </r>
  <r>
    <s v="SM-00857"/>
    <s v="Mission_857"/>
    <x v="3"/>
    <x v="5"/>
    <x v="789"/>
    <s v="Baikonur"/>
    <x v="1"/>
    <x v="4"/>
    <x v="1"/>
    <n v="6"/>
    <n v="865"/>
    <n v="2677.25"/>
    <n v="20053"/>
    <x v="0"/>
    <x v="1"/>
    <s v="Sun-Synchronous"/>
    <n v="21"/>
    <n v="201.51"/>
  </r>
  <r>
    <s v="SM-00858"/>
    <s v="Mission_858"/>
    <x v="6"/>
    <x v="2"/>
    <x v="790"/>
    <s v="Kennedy"/>
    <x v="5"/>
    <x v="3"/>
    <x v="0"/>
    <n v="5"/>
    <n v="567"/>
    <n v="4949.54"/>
    <n v="9880"/>
    <x v="1"/>
    <x v="2"/>
    <s v="MEO"/>
    <n v="21"/>
    <n v="20.76"/>
  </r>
  <r>
    <s v="SM-00859"/>
    <s v="Mission_859"/>
    <x v="2"/>
    <x v="1"/>
    <x v="618"/>
    <s v="Kourou"/>
    <x v="5"/>
    <x v="5"/>
    <x v="1"/>
    <n v="2"/>
    <n v="479"/>
    <n v="4619.01"/>
    <n v="16543"/>
    <x v="0"/>
    <x v="2"/>
    <s v="Polar"/>
    <n v="4"/>
    <n v="243.63"/>
  </r>
  <r>
    <s v="SM-00860"/>
    <s v="Mission_860"/>
    <x v="3"/>
    <x v="4"/>
    <x v="791"/>
    <s v="Kennedy"/>
    <x v="3"/>
    <x v="0"/>
    <x v="2"/>
    <n v="8"/>
    <n v="1352"/>
    <n v="118.41"/>
    <n v="35403"/>
    <x v="0"/>
    <x v="0"/>
    <s v="LEO"/>
    <n v="8"/>
    <n v="35.92"/>
  </r>
  <r>
    <s v="SM-00861"/>
    <s v="Mission_861"/>
    <x v="0"/>
    <x v="1"/>
    <x v="792"/>
    <s v="Baikonur"/>
    <x v="3"/>
    <x v="3"/>
    <x v="0"/>
    <n v="0"/>
    <n v="429"/>
    <n v="1403.13"/>
    <n v="12144"/>
    <x v="0"/>
    <x v="0"/>
    <s v="LEO"/>
    <n v="36"/>
    <n v="126.3"/>
  </r>
  <r>
    <s v="SM-00862"/>
    <s v="Mission_862"/>
    <x v="1"/>
    <x v="5"/>
    <x v="793"/>
    <s v="Baikonur"/>
    <x v="1"/>
    <x v="5"/>
    <x v="3"/>
    <n v="0"/>
    <n v="144"/>
    <n v="1298.81"/>
    <n v="46440"/>
    <x v="2"/>
    <x v="3"/>
    <s v="Sun-Synchronous"/>
    <n v="39"/>
    <n v="184.51"/>
  </r>
  <r>
    <s v="SM-00863"/>
    <s v="Mission_863"/>
    <x v="2"/>
    <x v="3"/>
    <x v="794"/>
    <s v="Baikonur"/>
    <x v="2"/>
    <x v="3"/>
    <x v="3"/>
    <n v="4"/>
    <n v="876"/>
    <n v="2512.79"/>
    <n v="15227"/>
    <x v="2"/>
    <x v="0"/>
    <s v="Sun-Synchronous"/>
    <n v="3"/>
    <n v="124.47"/>
  </r>
  <r>
    <s v="SM-00864"/>
    <s v="Mission_864"/>
    <x v="2"/>
    <x v="3"/>
    <x v="795"/>
    <s v="Tanegashima"/>
    <x v="2"/>
    <x v="1"/>
    <x v="2"/>
    <n v="1"/>
    <n v="38"/>
    <n v="3003.02"/>
    <n v="49406"/>
    <x v="0"/>
    <x v="1"/>
    <s v="Polar"/>
    <n v="21"/>
    <n v="123.38"/>
  </r>
  <r>
    <s v="SM-00865"/>
    <s v="Mission_865"/>
    <x v="2"/>
    <x v="1"/>
    <x v="796"/>
    <s v="Kourou"/>
    <x v="2"/>
    <x v="2"/>
    <x v="4"/>
    <n v="4"/>
    <n v="124"/>
    <n v="3570.16"/>
    <n v="16468"/>
    <x v="0"/>
    <x v="2"/>
    <s v="GEO"/>
    <n v="10"/>
    <n v="133.27000000000001"/>
  </r>
  <r>
    <s v="SM-00866"/>
    <s v="Mission_866"/>
    <x v="2"/>
    <x v="4"/>
    <x v="797"/>
    <s v="Kourou"/>
    <x v="1"/>
    <x v="1"/>
    <x v="4"/>
    <n v="7"/>
    <n v="1221"/>
    <n v="4838.7700000000004"/>
    <n v="5711"/>
    <x v="2"/>
    <x v="3"/>
    <s v="Polar"/>
    <n v="4"/>
    <n v="9.82"/>
  </r>
  <r>
    <s v="SM-00867"/>
    <s v="Mission_867"/>
    <x v="5"/>
    <x v="5"/>
    <x v="315"/>
    <s v="Sriharikota"/>
    <x v="0"/>
    <x v="0"/>
    <x v="2"/>
    <n v="3"/>
    <n v="1483"/>
    <n v="1773.69"/>
    <n v="8181"/>
    <x v="1"/>
    <x v="0"/>
    <s v="GEO"/>
    <n v="19"/>
    <n v="188.6"/>
  </r>
  <r>
    <s v="SM-00868"/>
    <s v="Mission_868"/>
    <x v="2"/>
    <x v="2"/>
    <x v="798"/>
    <s v="Baikonur"/>
    <x v="2"/>
    <x v="0"/>
    <x v="4"/>
    <n v="3"/>
    <n v="538"/>
    <n v="4021.11"/>
    <n v="42597"/>
    <x v="1"/>
    <x v="2"/>
    <s v="LEO"/>
    <n v="49"/>
    <n v="196.71"/>
  </r>
  <r>
    <s v="SM-00869"/>
    <s v="Mission_869"/>
    <x v="0"/>
    <x v="4"/>
    <x v="799"/>
    <s v="Kennedy"/>
    <x v="2"/>
    <x v="3"/>
    <x v="4"/>
    <n v="0"/>
    <n v="17"/>
    <n v="4686.6099999999997"/>
    <n v="46470"/>
    <x v="0"/>
    <x v="2"/>
    <s v="Transfer Orbit"/>
    <n v="50"/>
    <n v="91.24"/>
  </r>
  <r>
    <s v="SM-00870"/>
    <s v="Mission_870"/>
    <x v="5"/>
    <x v="3"/>
    <x v="800"/>
    <s v="Tanegashima"/>
    <x v="0"/>
    <x v="5"/>
    <x v="1"/>
    <n v="7"/>
    <n v="1060"/>
    <n v="3281.57"/>
    <n v="46085"/>
    <x v="2"/>
    <x v="3"/>
    <s v="Sun-Synchronous"/>
    <n v="13"/>
    <n v="55.83"/>
  </r>
  <r>
    <s v="SM-00871"/>
    <s v="Mission_871"/>
    <x v="3"/>
    <x v="0"/>
    <x v="801"/>
    <s v="Sriharikota"/>
    <x v="0"/>
    <x v="4"/>
    <x v="0"/>
    <n v="2"/>
    <n v="1365"/>
    <n v="815.19"/>
    <n v="7809"/>
    <x v="0"/>
    <x v="3"/>
    <s v="Transfer Orbit"/>
    <n v="36"/>
    <n v="177.09"/>
  </r>
  <r>
    <s v="SM-00872"/>
    <s v="Mission_872"/>
    <x v="3"/>
    <x v="5"/>
    <x v="802"/>
    <s v="Baikonur"/>
    <x v="1"/>
    <x v="0"/>
    <x v="0"/>
    <n v="6"/>
    <n v="570"/>
    <n v="606.37"/>
    <n v="41965"/>
    <x v="2"/>
    <x v="1"/>
    <s v="MEO"/>
    <n v="23"/>
    <n v="227.16"/>
  </r>
  <r>
    <s v="SM-00873"/>
    <s v="Mission_873"/>
    <x v="2"/>
    <x v="2"/>
    <x v="98"/>
    <s v="Baikonur"/>
    <x v="0"/>
    <x v="3"/>
    <x v="2"/>
    <n v="4"/>
    <n v="449"/>
    <n v="1057.0999999999999"/>
    <n v="28695"/>
    <x v="1"/>
    <x v="3"/>
    <s v="Transfer Orbit"/>
    <n v="7"/>
    <n v="193.18"/>
  </r>
  <r>
    <s v="SM-00874"/>
    <s v="Mission_874"/>
    <x v="5"/>
    <x v="3"/>
    <x v="803"/>
    <s v="Sriharikota"/>
    <x v="2"/>
    <x v="1"/>
    <x v="2"/>
    <n v="1"/>
    <n v="368"/>
    <n v="1227.05"/>
    <n v="36090"/>
    <x v="0"/>
    <x v="0"/>
    <s v="MEO"/>
    <n v="22"/>
    <n v="219.46"/>
  </r>
  <r>
    <s v="SM-00875"/>
    <s v="Mission_875"/>
    <x v="1"/>
    <x v="0"/>
    <x v="804"/>
    <s v="Kourou"/>
    <x v="3"/>
    <x v="3"/>
    <x v="1"/>
    <n v="8"/>
    <n v="816"/>
    <n v="2608.09"/>
    <n v="26460"/>
    <x v="1"/>
    <x v="2"/>
    <s v="LEO"/>
    <n v="20"/>
    <n v="135.61000000000001"/>
  </r>
  <r>
    <s v="SM-00876"/>
    <s v="Mission_876"/>
    <x v="3"/>
    <x v="1"/>
    <x v="805"/>
    <s v="Kourou"/>
    <x v="2"/>
    <x v="5"/>
    <x v="0"/>
    <n v="2"/>
    <n v="945"/>
    <n v="1558.3"/>
    <n v="48741"/>
    <x v="0"/>
    <x v="0"/>
    <s v="Sun-Synchronous"/>
    <n v="46"/>
    <n v="59.17"/>
  </r>
  <r>
    <s v="SM-00877"/>
    <s v="Mission_877"/>
    <x v="3"/>
    <x v="0"/>
    <x v="47"/>
    <s v="Baikonur"/>
    <x v="1"/>
    <x v="2"/>
    <x v="0"/>
    <n v="1"/>
    <n v="943"/>
    <n v="3103.08"/>
    <n v="46617"/>
    <x v="1"/>
    <x v="2"/>
    <s v="Polar"/>
    <n v="31"/>
    <n v="206.05"/>
  </r>
  <r>
    <s v="SM-00878"/>
    <s v="Mission_878"/>
    <x v="4"/>
    <x v="5"/>
    <x v="806"/>
    <s v="Jiuquan"/>
    <x v="0"/>
    <x v="5"/>
    <x v="4"/>
    <n v="0"/>
    <n v="560"/>
    <n v="3139.7"/>
    <n v="39716"/>
    <x v="2"/>
    <x v="3"/>
    <s v="Transfer Orbit"/>
    <n v="39"/>
    <n v="245.02"/>
  </r>
  <r>
    <s v="SM-00879"/>
    <s v="Mission_879"/>
    <x v="4"/>
    <x v="1"/>
    <x v="807"/>
    <s v="Kourou"/>
    <x v="5"/>
    <x v="3"/>
    <x v="1"/>
    <n v="2"/>
    <n v="1492"/>
    <n v="529.62"/>
    <n v="4472"/>
    <x v="1"/>
    <x v="2"/>
    <s v="MEO"/>
    <n v="41"/>
    <n v="151.72999999999999"/>
  </r>
  <r>
    <s v="SM-00880"/>
    <s v="Mission_880"/>
    <x v="1"/>
    <x v="3"/>
    <x v="808"/>
    <s v="Sriharikota"/>
    <x v="5"/>
    <x v="2"/>
    <x v="3"/>
    <n v="4"/>
    <n v="764"/>
    <n v="1410.67"/>
    <n v="29813"/>
    <x v="1"/>
    <x v="2"/>
    <s v="Sun-Synchronous"/>
    <n v="19"/>
    <n v="48.87"/>
  </r>
  <r>
    <s v="SM-00881"/>
    <s v="Mission_881"/>
    <x v="4"/>
    <x v="0"/>
    <x v="809"/>
    <s v="Baikonur"/>
    <x v="5"/>
    <x v="4"/>
    <x v="2"/>
    <n v="2"/>
    <n v="468"/>
    <n v="2397.0100000000002"/>
    <n v="35843"/>
    <x v="1"/>
    <x v="2"/>
    <s v="MEO"/>
    <n v="27"/>
    <n v="53.46"/>
  </r>
  <r>
    <s v="SM-00882"/>
    <s v="Mission_882"/>
    <x v="2"/>
    <x v="4"/>
    <x v="810"/>
    <s v="Kennedy"/>
    <x v="2"/>
    <x v="2"/>
    <x v="0"/>
    <n v="0"/>
    <n v="268"/>
    <n v="1744.54"/>
    <n v="7259"/>
    <x v="1"/>
    <x v="2"/>
    <s v="MEO"/>
    <n v="21"/>
    <n v="28.46"/>
  </r>
  <r>
    <s v="SM-00883"/>
    <s v="Mission_883"/>
    <x v="3"/>
    <x v="5"/>
    <x v="811"/>
    <s v="Kennedy"/>
    <x v="2"/>
    <x v="3"/>
    <x v="4"/>
    <n v="4"/>
    <n v="855"/>
    <n v="1372.24"/>
    <n v="28727"/>
    <x v="0"/>
    <x v="2"/>
    <s v="LEO"/>
    <n v="34"/>
    <n v="4.2"/>
  </r>
  <r>
    <s v="SM-00884"/>
    <s v="Mission_884"/>
    <x v="0"/>
    <x v="2"/>
    <x v="812"/>
    <s v="Kennedy"/>
    <x v="3"/>
    <x v="0"/>
    <x v="2"/>
    <n v="3"/>
    <n v="1248"/>
    <n v="1042"/>
    <n v="6435"/>
    <x v="2"/>
    <x v="3"/>
    <s v="Transfer Orbit"/>
    <n v="21"/>
    <n v="163.61000000000001"/>
  </r>
  <r>
    <s v="SM-00885"/>
    <s v="Mission_885"/>
    <x v="1"/>
    <x v="5"/>
    <x v="813"/>
    <s v="Sriharikota"/>
    <x v="0"/>
    <x v="2"/>
    <x v="0"/>
    <n v="7"/>
    <n v="791"/>
    <n v="368.84"/>
    <n v="33081"/>
    <x v="1"/>
    <x v="0"/>
    <s v="Transfer Orbit"/>
    <n v="26"/>
    <n v="72.959999999999994"/>
  </r>
  <r>
    <s v="SM-00886"/>
    <s v="Mission_886"/>
    <x v="2"/>
    <x v="3"/>
    <x v="290"/>
    <s v="Baikonur"/>
    <x v="5"/>
    <x v="5"/>
    <x v="5"/>
    <n v="6"/>
    <n v="1385"/>
    <n v="3969.3"/>
    <n v="16504"/>
    <x v="1"/>
    <x v="1"/>
    <s v="GEO"/>
    <n v="35"/>
    <n v="227.94"/>
  </r>
  <r>
    <s v="SM-00887"/>
    <s v="Mission_887"/>
    <x v="1"/>
    <x v="3"/>
    <x v="814"/>
    <s v="Sriharikota"/>
    <x v="2"/>
    <x v="4"/>
    <x v="3"/>
    <n v="0"/>
    <n v="388"/>
    <n v="462.37"/>
    <n v="12986"/>
    <x v="1"/>
    <x v="0"/>
    <s v="Sun-Synchronous"/>
    <n v="40"/>
    <n v="30.4"/>
  </r>
  <r>
    <s v="SM-00888"/>
    <s v="Mission_888"/>
    <x v="2"/>
    <x v="3"/>
    <x v="815"/>
    <s v="Kourou"/>
    <x v="4"/>
    <x v="2"/>
    <x v="5"/>
    <n v="6"/>
    <n v="655"/>
    <n v="2049.73"/>
    <n v="21316"/>
    <x v="1"/>
    <x v="2"/>
    <s v="Transfer Orbit"/>
    <n v="22"/>
    <n v="167.9"/>
  </r>
  <r>
    <s v="SM-00889"/>
    <s v="Mission_889"/>
    <x v="1"/>
    <x v="4"/>
    <x v="816"/>
    <s v="Tanegashima"/>
    <x v="2"/>
    <x v="3"/>
    <x v="2"/>
    <n v="1"/>
    <n v="170"/>
    <n v="4800.05"/>
    <n v="24169"/>
    <x v="1"/>
    <x v="3"/>
    <s v="LEO"/>
    <n v="13"/>
    <n v="30.8"/>
  </r>
  <r>
    <s v="SM-00890"/>
    <s v="Mission_890"/>
    <x v="3"/>
    <x v="5"/>
    <x v="817"/>
    <s v="Baikonur"/>
    <x v="2"/>
    <x v="3"/>
    <x v="3"/>
    <n v="4"/>
    <n v="886"/>
    <n v="233.23"/>
    <n v="4728"/>
    <x v="1"/>
    <x v="0"/>
    <s v="MEO"/>
    <n v="24"/>
    <n v="168.03"/>
  </r>
  <r>
    <s v="SM-00891"/>
    <s v="Mission_891"/>
    <x v="3"/>
    <x v="4"/>
    <x v="784"/>
    <s v="Jiuquan"/>
    <x v="0"/>
    <x v="5"/>
    <x v="3"/>
    <n v="4"/>
    <n v="463"/>
    <n v="3944.26"/>
    <n v="13432"/>
    <x v="0"/>
    <x v="0"/>
    <s v="Polar"/>
    <n v="16"/>
    <n v="8.3699999999999992"/>
  </r>
  <r>
    <s v="SM-00892"/>
    <s v="Mission_892"/>
    <x v="6"/>
    <x v="5"/>
    <x v="818"/>
    <s v="Jiuquan"/>
    <x v="5"/>
    <x v="5"/>
    <x v="3"/>
    <n v="1"/>
    <n v="1048"/>
    <n v="2322.94"/>
    <n v="24460"/>
    <x v="2"/>
    <x v="2"/>
    <s v="Sun-Synchronous"/>
    <n v="46"/>
    <n v="74.69"/>
  </r>
  <r>
    <s v="SM-00893"/>
    <s v="Mission_893"/>
    <x v="4"/>
    <x v="3"/>
    <x v="819"/>
    <s v="Jiuquan"/>
    <x v="1"/>
    <x v="4"/>
    <x v="4"/>
    <n v="0"/>
    <n v="550"/>
    <n v="311.12"/>
    <n v="7484"/>
    <x v="2"/>
    <x v="2"/>
    <s v="GEO"/>
    <n v="26"/>
    <n v="71.150000000000006"/>
  </r>
  <r>
    <s v="SM-00894"/>
    <s v="Mission_894"/>
    <x v="1"/>
    <x v="0"/>
    <x v="820"/>
    <s v="Baikonur"/>
    <x v="4"/>
    <x v="0"/>
    <x v="4"/>
    <n v="2"/>
    <n v="1343"/>
    <n v="4250.59"/>
    <n v="15532"/>
    <x v="0"/>
    <x v="2"/>
    <s v="Transfer Orbit"/>
    <n v="39"/>
    <n v="95.73"/>
  </r>
  <r>
    <s v="SM-00895"/>
    <s v="Mission_895"/>
    <x v="1"/>
    <x v="4"/>
    <x v="821"/>
    <s v="Baikonur"/>
    <x v="5"/>
    <x v="2"/>
    <x v="4"/>
    <n v="7"/>
    <n v="767"/>
    <n v="4688.57"/>
    <n v="23735"/>
    <x v="1"/>
    <x v="2"/>
    <s v="Sun-Synchronous"/>
    <n v="39"/>
    <n v="17.149999999999999"/>
  </r>
  <r>
    <s v="SM-00896"/>
    <s v="Mission_896"/>
    <x v="3"/>
    <x v="3"/>
    <x v="822"/>
    <s v="Sriharikota"/>
    <x v="4"/>
    <x v="0"/>
    <x v="5"/>
    <n v="3"/>
    <n v="940"/>
    <n v="440.6"/>
    <n v="44437"/>
    <x v="2"/>
    <x v="1"/>
    <s v="LEO"/>
    <n v="46"/>
    <n v="87.57"/>
  </r>
  <r>
    <s v="SM-00897"/>
    <s v="Mission_897"/>
    <x v="1"/>
    <x v="3"/>
    <x v="823"/>
    <s v="Jiuquan"/>
    <x v="3"/>
    <x v="0"/>
    <x v="4"/>
    <n v="4"/>
    <n v="234"/>
    <n v="150.96"/>
    <n v="11455"/>
    <x v="0"/>
    <x v="2"/>
    <s v="Polar"/>
    <n v="32"/>
    <n v="143.75"/>
  </r>
  <r>
    <s v="SM-00898"/>
    <s v="Mission_898"/>
    <x v="1"/>
    <x v="1"/>
    <x v="824"/>
    <s v="Sriharikota"/>
    <x v="2"/>
    <x v="4"/>
    <x v="4"/>
    <n v="8"/>
    <n v="1334"/>
    <n v="1973.68"/>
    <n v="9355"/>
    <x v="2"/>
    <x v="1"/>
    <s v="LEO"/>
    <n v="24"/>
    <n v="80.81"/>
  </r>
  <r>
    <s v="SM-00899"/>
    <s v="Mission_899"/>
    <x v="1"/>
    <x v="4"/>
    <x v="825"/>
    <s v="Kennedy"/>
    <x v="1"/>
    <x v="2"/>
    <x v="4"/>
    <n v="8"/>
    <n v="799"/>
    <n v="4115.01"/>
    <n v="3618"/>
    <x v="0"/>
    <x v="3"/>
    <s v="MEO"/>
    <n v="21"/>
    <n v="192.61"/>
  </r>
  <r>
    <s v="SM-00900"/>
    <s v="Mission_900"/>
    <x v="2"/>
    <x v="5"/>
    <x v="826"/>
    <s v="Baikonur"/>
    <x v="3"/>
    <x v="2"/>
    <x v="1"/>
    <n v="1"/>
    <n v="101"/>
    <n v="2664.56"/>
    <n v="34448"/>
    <x v="0"/>
    <x v="2"/>
    <s v="MEO"/>
    <n v="4"/>
    <n v="196.73"/>
  </r>
  <r>
    <s v="SM-00901"/>
    <s v="Mission_901"/>
    <x v="6"/>
    <x v="2"/>
    <x v="827"/>
    <s v="Baikonur"/>
    <x v="5"/>
    <x v="2"/>
    <x v="3"/>
    <n v="7"/>
    <n v="1314"/>
    <n v="2359.7800000000002"/>
    <n v="41931"/>
    <x v="0"/>
    <x v="2"/>
    <s v="GEO"/>
    <n v="45"/>
    <n v="17.41"/>
  </r>
  <r>
    <s v="SM-00902"/>
    <s v="Mission_902"/>
    <x v="0"/>
    <x v="0"/>
    <x v="828"/>
    <s v="Baikonur"/>
    <x v="1"/>
    <x v="5"/>
    <x v="1"/>
    <n v="0"/>
    <n v="359"/>
    <n v="3022.78"/>
    <n v="22632"/>
    <x v="1"/>
    <x v="3"/>
    <s v="Polar"/>
    <n v="22"/>
    <n v="186.77"/>
  </r>
  <r>
    <s v="SM-00903"/>
    <s v="Mission_903"/>
    <x v="1"/>
    <x v="5"/>
    <x v="829"/>
    <s v="Baikonur"/>
    <x v="5"/>
    <x v="5"/>
    <x v="1"/>
    <n v="4"/>
    <n v="109"/>
    <n v="2836.71"/>
    <n v="7559"/>
    <x v="2"/>
    <x v="0"/>
    <s v="Polar"/>
    <n v="16"/>
    <n v="13.99"/>
  </r>
  <r>
    <s v="SM-00904"/>
    <s v="Mission_904"/>
    <x v="5"/>
    <x v="1"/>
    <x v="830"/>
    <s v="Jiuquan"/>
    <x v="3"/>
    <x v="5"/>
    <x v="3"/>
    <n v="2"/>
    <n v="181"/>
    <n v="1418.72"/>
    <n v="49384"/>
    <x v="0"/>
    <x v="2"/>
    <s v="Sun-Synchronous"/>
    <n v="40"/>
    <n v="169.65"/>
  </r>
  <r>
    <s v="SM-00905"/>
    <s v="Mission_905"/>
    <x v="5"/>
    <x v="1"/>
    <x v="831"/>
    <s v="Tanegashima"/>
    <x v="1"/>
    <x v="5"/>
    <x v="0"/>
    <n v="6"/>
    <n v="1021"/>
    <n v="348.89"/>
    <n v="47675"/>
    <x v="0"/>
    <x v="0"/>
    <s v="LEO"/>
    <n v="1"/>
    <n v="71.040000000000006"/>
  </r>
  <r>
    <s v="SM-00906"/>
    <s v="Mission_906"/>
    <x v="0"/>
    <x v="4"/>
    <x v="720"/>
    <s v="Kourou"/>
    <x v="2"/>
    <x v="2"/>
    <x v="3"/>
    <n v="8"/>
    <n v="487"/>
    <n v="3195.06"/>
    <n v="15088"/>
    <x v="0"/>
    <x v="1"/>
    <s v="Polar"/>
    <n v="17"/>
    <n v="4.66"/>
  </r>
  <r>
    <s v="SM-00907"/>
    <s v="Mission_907"/>
    <x v="5"/>
    <x v="2"/>
    <x v="832"/>
    <s v="Baikonur"/>
    <x v="0"/>
    <x v="3"/>
    <x v="5"/>
    <n v="5"/>
    <n v="1008"/>
    <n v="2513.81"/>
    <n v="20586"/>
    <x v="2"/>
    <x v="1"/>
    <s v="Sun-Synchronous"/>
    <n v="11"/>
    <n v="38.1"/>
  </r>
  <r>
    <s v="SM-00908"/>
    <s v="Mission_908"/>
    <x v="2"/>
    <x v="3"/>
    <x v="833"/>
    <s v="Kourou"/>
    <x v="0"/>
    <x v="4"/>
    <x v="3"/>
    <n v="0"/>
    <n v="1326"/>
    <n v="4615.16"/>
    <n v="27615"/>
    <x v="2"/>
    <x v="1"/>
    <s v="Sun-Synchronous"/>
    <n v="37"/>
    <n v="158.33000000000001"/>
  </r>
  <r>
    <s v="SM-00909"/>
    <s v="Mission_909"/>
    <x v="0"/>
    <x v="1"/>
    <x v="834"/>
    <s v="Kennedy"/>
    <x v="4"/>
    <x v="2"/>
    <x v="1"/>
    <n v="8"/>
    <n v="612"/>
    <n v="4900.05"/>
    <n v="13820"/>
    <x v="1"/>
    <x v="0"/>
    <s v="LEO"/>
    <n v="36"/>
    <n v="166.22"/>
  </r>
  <r>
    <s v="SM-00910"/>
    <s v="Mission_910"/>
    <x v="2"/>
    <x v="5"/>
    <x v="835"/>
    <s v="Kennedy"/>
    <x v="1"/>
    <x v="2"/>
    <x v="1"/>
    <n v="8"/>
    <n v="1016"/>
    <n v="994.63"/>
    <n v="20842"/>
    <x v="2"/>
    <x v="1"/>
    <s v="LEO"/>
    <n v="37"/>
    <n v="21.26"/>
  </r>
  <r>
    <s v="SM-00911"/>
    <s v="Mission_911"/>
    <x v="6"/>
    <x v="2"/>
    <x v="836"/>
    <s v="Sriharikota"/>
    <x v="4"/>
    <x v="4"/>
    <x v="4"/>
    <n v="4"/>
    <n v="1265"/>
    <n v="1305.02"/>
    <n v="48193"/>
    <x v="0"/>
    <x v="3"/>
    <s v="Sun-Synchronous"/>
    <n v="3"/>
    <n v="4.84"/>
  </r>
  <r>
    <s v="SM-00912"/>
    <s v="Mission_912"/>
    <x v="2"/>
    <x v="5"/>
    <x v="837"/>
    <s v="Sriharikota"/>
    <x v="0"/>
    <x v="1"/>
    <x v="5"/>
    <n v="6"/>
    <n v="1236"/>
    <n v="4500.26"/>
    <n v="42508"/>
    <x v="2"/>
    <x v="2"/>
    <s v="MEO"/>
    <n v="7"/>
    <n v="81.53"/>
  </r>
  <r>
    <s v="SM-00913"/>
    <s v="Mission_913"/>
    <x v="6"/>
    <x v="3"/>
    <x v="838"/>
    <s v="Kourou"/>
    <x v="5"/>
    <x v="1"/>
    <x v="0"/>
    <n v="4"/>
    <n v="623"/>
    <n v="3047.3"/>
    <n v="9632"/>
    <x v="1"/>
    <x v="0"/>
    <s v="Transfer Orbit"/>
    <n v="46"/>
    <n v="244.91"/>
  </r>
  <r>
    <s v="SM-00914"/>
    <s v="Mission_914"/>
    <x v="2"/>
    <x v="5"/>
    <x v="264"/>
    <s v="Jiuquan"/>
    <x v="3"/>
    <x v="0"/>
    <x v="1"/>
    <n v="2"/>
    <n v="1392"/>
    <n v="3858.6"/>
    <n v="43343"/>
    <x v="2"/>
    <x v="1"/>
    <s v="Polar"/>
    <n v="23"/>
    <n v="77.55"/>
  </r>
  <r>
    <s v="SM-00915"/>
    <s v="Mission_915"/>
    <x v="2"/>
    <x v="1"/>
    <x v="839"/>
    <s v="Kennedy"/>
    <x v="1"/>
    <x v="0"/>
    <x v="2"/>
    <n v="6"/>
    <n v="1419"/>
    <n v="1253.54"/>
    <n v="12250"/>
    <x v="2"/>
    <x v="2"/>
    <s v="Sun-Synchronous"/>
    <n v="22"/>
    <n v="165.23"/>
  </r>
  <r>
    <s v="SM-00916"/>
    <s v="Mission_916"/>
    <x v="1"/>
    <x v="4"/>
    <x v="840"/>
    <s v="Tanegashima"/>
    <x v="4"/>
    <x v="0"/>
    <x v="0"/>
    <n v="6"/>
    <n v="349"/>
    <n v="1573.58"/>
    <n v="29262"/>
    <x v="1"/>
    <x v="0"/>
    <s v="MEO"/>
    <n v="7"/>
    <n v="171.27"/>
  </r>
  <r>
    <s v="SM-00917"/>
    <s v="Mission_917"/>
    <x v="5"/>
    <x v="1"/>
    <x v="841"/>
    <s v="Tanegashima"/>
    <x v="5"/>
    <x v="2"/>
    <x v="3"/>
    <n v="3"/>
    <n v="948"/>
    <n v="4582.29"/>
    <n v="34872"/>
    <x v="1"/>
    <x v="3"/>
    <s v="Polar"/>
    <n v="38"/>
    <n v="102.59"/>
  </r>
  <r>
    <s v="SM-00918"/>
    <s v="Mission_918"/>
    <x v="4"/>
    <x v="1"/>
    <x v="484"/>
    <s v="Baikonur"/>
    <x v="2"/>
    <x v="3"/>
    <x v="3"/>
    <n v="3"/>
    <n v="344"/>
    <n v="1234.1099999999999"/>
    <n v="13872"/>
    <x v="2"/>
    <x v="2"/>
    <s v="Sun-Synchronous"/>
    <n v="23"/>
    <n v="183.8"/>
  </r>
  <r>
    <s v="SM-00919"/>
    <s v="Mission_919"/>
    <x v="4"/>
    <x v="4"/>
    <x v="842"/>
    <s v="Kennedy"/>
    <x v="5"/>
    <x v="3"/>
    <x v="1"/>
    <n v="2"/>
    <n v="49"/>
    <n v="3708.31"/>
    <n v="9214"/>
    <x v="2"/>
    <x v="1"/>
    <s v="GEO"/>
    <n v="22"/>
    <n v="225.28"/>
  </r>
  <r>
    <s v="SM-00920"/>
    <s v="Mission_920"/>
    <x v="0"/>
    <x v="0"/>
    <x v="182"/>
    <s v="Sriharikota"/>
    <x v="4"/>
    <x v="2"/>
    <x v="2"/>
    <n v="7"/>
    <n v="142"/>
    <n v="627.15"/>
    <n v="41003"/>
    <x v="0"/>
    <x v="0"/>
    <s v="MEO"/>
    <n v="9"/>
    <n v="165.92"/>
  </r>
  <r>
    <s v="SM-00921"/>
    <s v="Mission_921"/>
    <x v="5"/>
    <x v="1"/>
    <x v="581"/>
    <s v="Kennedy"/>
    <x v="5"/>
    <x v="2"/>
    <x v="5"/>
    <n v="8"/>
    <n v="455"/>
    <n v="769.31"/>
    <n v="17254"/>
    <x v="0"/>
    <x v="3"/>
    <s v="Polar"/>
    <n v="3"/>
    <n v="201.73"/>
  </r>
  <r>
    <s v="SM-00922"/>
    <s v="Mission_922"/>
    <x v="3"/>
    <x v="2"/>
    <x v="843"/>
    <s v="Kennedy"/>
    <x v="3"/>
    <x v="0"/>
    <x v="5"/>
    <n v="0"/>
    <n v="367"/>
    <n v="1272.02"/>
    <n v="44010"/>
    <x v="0"/>
    <x v="2"/>
    <s v="GEO"/>
    <n v="4"/>
    <n v="77.959999999999994"/>
  </r>
  <r>
    <s v="SM-00923"/>
    <s v="Mission_923"/>
    <x v="5"/>
    <x v="4"/>
    <x v="844"/>
    <s v="Baikonur"/>
    <x v="0"/>
    <x v="5"/>
    <x v="1"/>
    <n v="6"/>
    <n v="1374"/>
    <n v="4245.12"/>
    <n v="36135"/>
    <x v="1"/>
    <x v="2"/>
    <s v="Sun-Synchronous"/>
    <n v="33"/>
    <n v="1.3"/>
  </r>
  <r>
    <s v="SM-00924"/>
    <s v="Mission_924"/>
    <x v="4"/>
    <x v="3"/>
    <x v="845"/>
    <s v="Kourou"/>
    <x v="2"/>
    <x v="2"/>
    <x v="3"/>
    <n v="6"/>
    <n v="391"/>
    <n v="322.26"/>
    <n v="17588"/>
    <x v="0"/>
    <x v="1"/>
    <s v="GEO"/>
    <n v="17"/>
    <n v="97.31"/>
  </r>
  <r>
    <s v="SM-00925"/>
    <s v="Mission_925"/>
    <x v="6"/>
    <x v="2"/>
    <x v="846"/>
    <s v="Kourou"/>
    <x v="4"/>
    <x v="1"/>
    <x v="0"/>
    <n v="7"/>
    <n v="308"/>
    <n v="3408.85"/>
    <n v="29153"/>
    <x v="2"/>
    <x v="1"/>
    <s v="Transfer Orbit"/>
    <n v="40"/>
    <n v="140.63999999999999"/>
  </r>
  <r>
    <s v="SM-00926"/>
    <s v="Mission_926"/>
    <x v="1"/>
    <x v="0"/>
    <x v="847"/>
    <s v="Baikonur"/>
    <x v="3"/>
    <x v="4"/>
    <x v="4"/>
    <n v="3"/>
    <n v="786"/>
    <n v="2816.7"/>
    <n v="16966"/>
    <x v="0"/>
    <x v="2"/>
    <s v="Transfer Orbit"/>
    <n v="14"/>
    <n v="90.75"/>
  </r>
  <r>
    <s v="SM-00927"/>
    <s v="Mission_927"/>
    <x v="2"/>
    <x v="1"/>
    <x v="848"/>
    <s v="Tanegashima"/>
    <x v="1"/>
    <x v="3"/>
    <x v="2"/>
    <n v="2"/>
    <n v="903"/>
    <n v="3465.34"/>
    <n v="42740"/>
    <x v="0"/>
    <x v="3"/>
    <s v="GEO"/>
    <n v="36"/>
    <n v="95.93"/>
  </r>
  <r>
    <s v="SM-00928"/>
    <s v="Mission_928"/>
    <x v="1"/>
    <x v="4"/>
    <x v="849"/>
    <s v="Baikonur"/>
    <x v="3"/>
    <x v="3"/>
    <x v="2"/>
    <n v="8"/>
    <n v="1478"/>
    <n v="1517.62"/>
    <n v="43661"/>
    <x v="0"/>
    <x v="1"/>
    <s v="Sun-Synchronous"/>
    <n v="28"/>
    <n v="88.34"/>
  </r>
  <r>
    <s v="SM-00929"/>
    <s v="Mission_929"/>
    <x v="4"/>
    <x v="1"/>
    <x v="850"/>
    <s v="Tanegashima"/>
    <x v="1"/>
    <x v="5"/>
    <x v="5"/>
    <n v="7"/>
    <n v="1481"/>
    <n v="3647.32"/>
    <n v="28460"/>
    <x v="2"/>
    <x v="1"/>
    <s v="GEO"/>
    <n v="29"/>
    <n v="121.43"/>
  </r>
  <r>
    <s v="SM-00930"/>
    <s v="Mission_930"/>
    <x v="1"/>
    <x v="0"/>
    <x v="851"/>
    <s v="Baikonur"/>
    <x v="4"/>
    <x v="0"/>
    <x v="4"/>
    <n v="4"/>
    <n v="91"/>
    <n v="598.26"/>
    <n v="1273"/>
    <x v="2"/>
    <x v="3"/>
    <s v="Polar"/>
    <n v="6"/>
    <n v="74.92"/>
  </r>
  <r>
    <s v="SM-00931"/>
    <s v="Mission_931"/>
    <x v="4"/>
    <x v="1"/>
    <x v="852"/>
    <s v="Tanegashima"/>
    <x v="3"/>
    <x v="0"/>
    <x v="4"/>
    <n v="2"/>
    <n v="288"/>
    <n v="4103.0200000000004"/>
    <n v="13849"/>
    <x v="1"/>
    <x v="3"/>
    <s v="GEO"/>
    <n v="6"/>
    <n v="229.8"/>
  </r>
  <r>
    <s v="SM-00932"/>
    <s v="Mission_932"/>
    <x v="3"/>
    <x v="5"/>
    <x v="853"/>
    <s v="Tanegashima"/>
    <x v="1"/>
    <x v="0"/>
    <x v="2"/>
    <n v="1"/>
    <n v="518"/>
    <n v="4029.84"/>
    <n v="17400"/>
    <x v="0"/>
    <x v="1"/>
    <s v="Polar"/>
    <n v="25"/>
    <n v="241.43"/>
  </r>
  <r>
    <s v="SM-00933"/>
    <s v="Mission_933"/>
    <x v="4"/>
    <x v="3"/>
    <x v="854"/>
    <s v="Tanegashima"/>
    <x v="0"/>
    <x v="3"/>
    <x v="4"/>
    <n v="8"/>
    <n v="579"/>
    <n v="714.75"/>
    <n v="3520"/>
    <x v="0"/>
    <x v="3"/>
    <s v="LEO"/>
    <n v="44"/>
    <n v="173.42"/>
  </r>
  <r>
    <s v="SM-00934"/>
    <s v="Mission_934"/>
    <x v="5"/>
    <x v="1"/>
    <x v="855"/>
    <s v="Sriharikota"/>
    <x v="0"/>
    <x v="2"/>
    <x v="3"/>
    <n v="7"/>
    <n v="1328"/>
    <n v="3714.39"/>
    <n v="39580"/>
    <x v="0"/>
    <x v="3"/>
    <s v="MEO"/>
    <n v="28"/>
    <n v="32.14"/>
  </r>
  <r>
    <s v="SM-00935"/>
    <s v="Mission_935"/>
    <x v="0"/>
    <x v="4"/>
    <x v="371"/>
    <s v="Kourou"/>
    <x v="2"/>
    <x v="3"/>
    <x v="1"/>
    <n v="3"/>
    <n v="1312"/>
    <n v="639.02"/>
    <n v="38722"/>
    <x v="0"/>
    <x v="0"/>
    <s v="Transfer Orbit"/>
    <n v="30"/>
    <n v="145.6"/>
  </r>
  <r>
    <s v="SM-00936"/>
    <s v="Mission_936"/>
    <x v="1"/>
    <x v="1"/>
    <x v="856"/>
    <s v="Jiuquan"/>
    <x v="0"/>
    <x v="3"/>
    <x v="0"/>
    <n v="4"/>
    <n v="332"/>
    <n v="1095.78"/>
    <n v="7954"/>
    <x v="2"/>
    <x v="2"/>
    <s v="GEO"/>
    <n v="23"/>
    <n v="151.25"/>
  </r>
  <r>
    <s v="SM-00937"/>
    <s v="Mission_937"/>
    <x v="4"/>
    <x v="2"/>
    <x v="857"/>
    <s v="Kennedy"/>
    <x v="0"/>
    <x v="2"/>
    <x v="3"/>
    <n v="6"/>
    <n v="1192"/>
    <n v="133.4"/>
    <n v="27509"/>
    <x v="0"/>
    <x v="0"/>
    <s v="Polar"/>
    <n v="49"/>
    <n v="93.01"/>
  </r>
  <r>
    <s v="SM-00938"/>
    <s v="Mission_938"/>
    <x v="3"/>
    <x v="1"/>
    <x v="858"/>
    <s v="Kourou"/>
    <x v="4"/>
    <x v="5"/>
    <x v="2"/>
    <n v="1"/>
    <n v="1409"/>
    <n v="1020.04"/>
    <n v="43008"/>
    <x v="2"/>
    <x v="2"/>
    <s v="GEO"/>
    <n v="32"/>
    <n v="199.66"/>
  </r>
  <r>
    <s v="SM-00939"/>
    <s v="Mission_939"/>
    <x v="4"/>
    <x v="3"/>
    <x v="859"/>
    <s v="Kourou"/>
    <x v="3"/>
    <x v="1"/>
    <x v="2"/>
    <n v="0"/>
    <n v="487"/>
    <n v="3881.46"/>
    <n v="13598"/>
    <x v="2"/>
    <x v="1"/>
    <s v="MEO"/>
    <n v="42"/>
    <n v="145.26"/>
  </r>
  <r>
    <s v="SM-00940"/>
    <s v="Mission_940"/>
    <x v="6"/>
    <x v="4"/>
    <x v="860"/>
    <s v="Baikonur"/>
    <x v="1"/>
    <x v="4"/>
    <x v="5"/>
    <n v="2"/>
    <n v="1267"/>
    <n v="4905.95"/>
    <n v="4774"/>
    <x v="0"/>
    <x v="1"/>
    <s v="Sun-Synchronous"/>
    <n v="35"/>
    <n v="249.71"/>
  </r>
  <r>
    <s v="SM-00941"/>
    <s v="Mission_941"/>
    <x v="1"/>
    <x v="3"/>
    <x v="861"/>
    <s v="Sriharikota"/>
    <x v="0"/>
    <x v="5"/>
    <x v="5"/>
    <n v="7"/>
    <n v="773"/>
    <n v="950.34"/>
    <n v="10927"/>
    <x v="2"/>
    <x v="3"/>
    <s v="Transfer Orbit"/>
    <n v="41"/>
    <n v="156.13"/>
  </r>
  <r>
    <s v="SM-00942"/>
    <s v="Mission_942"/>
    <x v="2"/>
    <x v="3"/>
    <x v="862"/>
    <s v="Tanegashima"/>
    <x v="2"/>
    <x v="2"/>
    <x v="1"/>
    <n v="5"/>
    <n v="549"/>
    <n v="494.78"/>
    <n v="37951"/>
    <x v="1"/>
    <x v="0"/>
    <s v="Polar"/>
    <n v="16"/>
    <n v="197.27"/>
  </r>
  <r>
    <s v="SM-00943"/>
    <s v="Mission_943"/>
    <x v="6"/>
    <x v="3"/>
    <x v="863"/>
    <s v="Jiuquan"/>
    <x v="5"/>
    <x v="5"/>
    <x v="1"/>
    <n v="7"/>
    <n v="1246"/>
    <n v="2108.84"/>
    <n v="31271"/>
    <x v="2"/>
    <x v="1"/>
    <s v="LEO"/>
    <n v="24"/>
    <n v="138.6"/>
  </r>
  <r>
    <s v="SM-00944"/>
    <s v="Mission_944"/>
    <x v="1"/>
    <x v="4"/>
    <x v="196"/>
    <s v="Baikonur"/>
    <x v="5"/>
    <x v="0"/>
    <x v="1"/>
    <n v="0"/>
    <n v="966"/>
    <n v="414.68"/>
    <n v="12301"/>
    <x v="0"/>
    <x v="1"/>
    <s v="Transfer Orbit"/>
    <n v="45"/>
    <n v="231.5"/>
  </r>
  <r>
    <s v="SM-00945"/>
    <s v="Mission_945"/>
    <x v="0"/>
    <x v="1"/>
    <x v="864"/>
    <s v="Sriharikota"/>
    <x v="1"/>
    <x v="0"/>
    <x v="0"/>
    <n v="6"/>
    <n v="33"/>
    <n v="3637.22"/>
    <n v="46223"/>
    <x v="2"/>
    <x v="0"/>
    <s v="Transfer Orbit"/>
    <n v="20"/>
    <n v="24.61"/>
  </r>
  <r>
    <s v="SM-00946"/>
    <s v="Mission_946"/>
    <x v="3"/>
    <x v="1"/>
    <x v="865"/>
    <s v="Sriharikota"/>
    <x v="4"/>
    <x v="1"/>
    <x v="4"/>
    <n v="5"/>
    <n v="1102"/>
    <n v="2279.0100000000002"/>
    <n v="46259"/>
    <x v="1"/>
    <x v="1"/>
    <s v="LEO"/>
    <n v="34"/>
    <n v="86"/>
  </r>
  <r>
    <s v="SM-00947"/>
    <s v="Mission_947"/>
    <x v="5"/>
    <x v="4"/>
    <x v="866"/>
    <s v="Sriharikota"/>
    <x v="4"/>
    <x v="3"/>
    <x v="1"/>
    <n v="3"/>
    <n v="330"/>
    <n v="173.82"/>
    <n v="46525"/>
    <x v="0"/>
    <x v="0"/>
    <s v="Transfer Orbit"/>
    <n v="17"/>
    <n v="136.69999999999999"/>
  </r>
  <r>
    <s v="SM-00948"/>
    <s v="Mission_948"/>
    <x v="3"/>
    <x v="4"/>
    <x v="867"/>
    <s v="Baikonur"/>
    <x v="4"/>
    <x v="0"/>
    <x v="2"/>
    <n v="1"/>
    <n v="597"/>
    <n v="4888"/>
    <n v="40881"/>
    <x v="2"/>
    <x v="0"/>
    <s v="Transfer Orbit"/>
    <n v="50"/>
    <n v="178.81"/>
  </r>
  <r>
    <s v="SM-00949"/>
    <s v="Mission_949"/>
    <x v="0"/>
    <x v="5"/>
    <x v="868"/>
    <s v="Tanegashima"/>
    <x v="0"/>
    <x v="3"/>
    <x v="3"/>
    <n v="1"/>
    <n v="838"/>
    <n v="4735.38"/>
    <n v="36195"/>
    <x v="1"/>
    <x v="1"/>
    <s v="Transfer Orbit"/>
    <n v="17"/>
    <n v="159.58000000000001"/>
  </r>
  <r>
    <s v="SM-00950"/>
    <s v="Mission_950"/>
    <x v="5"/>
    <x v="4"/>
    <x v="869"/>
    <s v="Tanegashima"/>
    <x v="0"/>
    <x v="4"/>
    <x v="0"/>
    <n v="6"/>
    <n v="283"/>
    <n v="3572.75"/>
    <n v="23434"/>
    <x v="0"/>
    <x v="0"/>
    <s v="GEO"/>
    <n v="45"/>
    <n v="94.77"/>
  </r>
  <r>
    <s v="SM-00951"/>
    <s v="Mission_951"/>
    <x v="2"/>
    <x v="0"/>
    <x v="870"/>
    <s v="Sriharikota"/>
    <x v="3"/>
    <x v="5"/>
    <x v="4"/>
    <n v="3"/>
    <n v="139"/>
    <n v="2423.42"/>
    <n v="47500"/>
    <x v="0"/>
    <x v="1"/>
    <s v="Polar"/>
    <n v="11"/>
    <n v="196.96"/>
  </r>
  <r>
    <s v="SM-00952"/>
    <s v="Mission_952"/>
    <x v="4"/>
    <x v="4"/>
    <x v="871"/>
    <s v="Sriharikota"/>
    <x v="1"/>
    <x v="5"/>
    <x v="0"/>
    <n v="3"/>
    <n v="1310"/>
    <n v="4503.8500000000004"/>
    <n v="32432"/>
    <x v="2"/>
    <x v="3"/>
    <s v="LEO"/>
    <n v="23"/>
    <n v="45.65"/>
  </r>
  <r>
    <s v="SM-00953"/>
    <s v="Mission_953"/>
    <x v="4"/>
    <x v="1"/>
    <x v="872"/>
    <s v="Sriharikota"/>
    <x v="4"/>
    <x v="4"/>
    <x v="5"/>
    <n v="4"/>
    <n v="394"/>
    <n v="4345.33"/>
    <n v="43864"/>
    <x v="0"/>
    <x v="3"/>
    <s v="Sun-Synchronous"/>
    <n v="38"/>
    <n v="66.209999999999994"/>
  </r>
  <r>
    <s v="SM-00954"/>
    <s v="Mission_954"/>
    <x v="3"/>
    <x v="1"/>
    <x v="873"/>
    <s v="Baikonur"/>
    <x v="5"/>
    <x v="1"/>
    <x v="1"/>
    <n v="6"/>
    <n v="1193"/>
    <n v="4449.34"/>
    <n v="31509"/>
    <x v="1"/>
    <x v="3"/>
    <s v="Sun-Synchronous"/>
    <n v="28"/>
    <n v="123.53"/>
  </r>
  <r>
    <s v="SM-00955"/>
    <s v="Mission_955"/>
    <x v="0"/>
    <x v="2"/>
    <x v="874"/>
    <s v="Sriharikota"/>
    <x v="1"/>
    <x v="0"/>
    <x v="3"/>
    <n v="6"/>
    <n v="975"/>
    <n v="4524.32"/>
    <n v="24024"/>
    <x v="2"/>
    <x v="1"/>
    <s v="MEO"/>
    <n v="25"/>
    <n v="114.35"/>
  </r>
  <r>
    <s v="SM-00956"/>
    <s v="Mission_956"/>
    <x v="3"/>
    <x v="0"/>
    <x v="875"/>
    <s v="Jiuquan"/>
    <x v="5"/>
    <x v="1"/>
    <x v="4"/>
    <n v="2"/>
    <n v="694"/>
    <n v="2281.9499999999998"/>
    <n v="2521"/>
    <x v="2"/>
    <x v="2"/>
    <s v="MEO"/>
    <n v="47"/>
    <n v="101.44"/>
  </r>
  <r>
    <s v="SM-00957"/>
    <s v="Mission_957"/>
    <x v="4"/>
    <x v="0"/>
    <x v="9"/>
    <s v="Kennedy"/>
    <x v="2"/>
    <x v="0"/>
    <x v="3"/>
    <n v="7"/>
    <n v="608"/>
    <n v="4090.97"/>
    <n v="33263"/>
    <x v="0"/>
    <x v="2"/>
    <s v="GEO"/>
    <n v="41"/>
    <n v="116.44"/>
  </r>
  <r>
    <s v="SM-00958"/>
    <s v="Mission_958"/>
    <x v="3"/>
    <x v="0"/>
    <x v="876"/>
    <s v="Kennedy"/>
    <x v="2"/>
    <x v="2"/>
    <x v="1"/>
    <n v="1"/>
    <n v="213"/>
    <n v="1662.89"/>
    <n v="40999"/>
    <x v="0"/>
    <x v="0"/>
    <s v="GEO"/>
    <n v="32"/>
    <n v="106.85"/>
  </r>
  <r>
    <s v="SM-00959"/>
    <s v="Mission_959"/>
    <x v="0"/>
    <x v="4"/>
    <x v="877"/>
    <s v="Tanegashima"/>
    <x v="2"/>
    <x v="2"/>
    <x v="5"/>
    <n v="6"/>
    <n v="1189"/>
    <n v="3388.55"/>
    <n v="2400"/>
    <x v="1"/>
    <x v="1"/>
    <s v="LEO"/>
    <n v="18"/>
    <n v="44.79"/>
  </r>
  <r>
    <s v="SM-00960"/>
    <s v="Mission_960"/>
    <x v="6"/>
    <x v="1"/>
    <x v="878"/>
    <s v="Baikonur"/>
    <x v="0"/>
    <x v="5"/>
    <x v="2"/>
    <n v="4"/>
    <n v="1398"/>
    <n v="3747.52"/>
    <n v="46048"/>
    <x v="0"/>
    <x v="2"/>
    <s v="Transfer Orbit"/>
    <n v="47"/>
    <n v="39.979999999999997"/>
  </r>
  <r>
    <s v="SM-00961"/>
    <s v="Mission_961"/>
    <x v="4"/>
    <x v="0"/>
    <x v="879"/>
    <s v="Kourou"/>
    <x v="1"/>
    <x v="2"/>
    <x v="0"/>
    <n v="2"/>
    <n v="855"/>
    <n v="2380.44"/>
    <n v="3955"/>
    <x v="2"/>
    <x v="0"/>
    <s v="MEO"/>
    <n v="18"/>
    <n v="46.56"/>
  </r>
  <r>
    <s v="SM-00962"/>
    <s v="Mission_962"/>
    <x v="6"/>
    <x v="4"/>
    <x v="880"/>
    <s v="Kourou"/>
    <x v="3"/>
    <x v="4"/>
    <x v="2"/>
    <n v="7"/>
    <n v="715"/>
    <n v="3512.05"/>
    <n v="48333"/>
    <x v="0"/>
    <x v="1"/>
    <s v="Transfer Orbit"/>
    <n v="44"/>
    <n v="161.57"/>
  </r>
  <r>
    <s v="SM-00963"/>
    <s v="Mission_963"/>
    <x v="6"/>
    <x v="4"/>
    <x v="881"/>
    <s v="Kennedy"/>
    <x v="1"/>
    <x v="0"/>
    <x v="2"/>
    <n v="8"/>
    <n v="1213"/>
    <n v="504.67"/>
    <n v="32112"/>
    <x v="1"/>
    <x v="1"/>
    <s v="Sun-Synchronous"/>
    <n v="33"/>
    <n v="237.49"/>
  </r>
  <r>
    <s v="SM-00964"/>
    <s v="Mission_964"/>
    <x v="5"/>
    <x v="1"/>
    <x v="658"/>
    <s v="Tanegashima"/>
    <x v="5"/>
    <x v="0"/>
    <x v="3"/>
    <n v="7"/>
    <n v="1251"/>
    <n v="2195.83"/>
    <n v="33096"/>
    <x v="2"/>
    <x v="0"/>
    <s v="Polar"/>
    <n v="11"/>
    <n v="128.69999999999999"/>
  </r>
  <r>
    <s v="SM-00965"/>
    <s v="Mission_965"/>
    <x v="4"/>
    <x v="0"/>
    <x v="882"/>
    <s v="Kourou"/>
    <x v="1"/>
    <x v="0"/>
    <x v="4"/>
    <n v="0"/>
    <n v="1230"/>
    <n v="389.66"/>
    <n v="46064"/>
    <x v="1"/>
    <x v="2"/>
    <s v="Transfer Orbit"/>
    <n v="11"/>
    <n v="202.38"/>
  </r>
  <r>
    <s v="SM-00966"/>
    <s v="Mission_966"/>
    <x v="5"/>
    <x v="3"/>
    <x v="883"/>
    <s v="Kennedy"/>
    <x v="0"/>
    <x v="5"/>
    <x v="0"/>
    <n v="7"/>
    <n v="194"/>
    <n v="4874.6899999999996"/>
    <n v="48975"/>
    <x v="0"/>
    <x v="2"/>
    <s v="Transfer Orbit"/>
    <n v="43"/>
    <n v="205.12"/>
  </r>
  <r>
    <s v="SM-00967"/>
    <s v="Mission_967"/>
    <x v="6"/>
    <x v="1"/>
    <x v="815"/>
    <s v="Kennedy"/>
    <x v="5"/>
    <x v="1"/>
    <x v="1"/>
    <n v="7"/>
    <n v="56"/>
    <n v="628.79"/>
    <n v="28474"/>
    <x v="1"/>
    <x v="1"/>
    <s v="Polar"/>
    <n v="46"/>
    <n v="211.36"/>
  </r>
  <r>
    <s v="SM-00968"/>
    <s v="Mission_968"/>
    <x v="1"/>
    <x v="0"/>
    <x v="884"/>
    <s v="Kourou"/>
    <x v="5"/>
    <x v="1"/>
    <x v="4"/>
    <n v="6"/>
    <n v="1256"/>
    <n v="3041.55"/>
    <n v="41670"/>
    <x v="2"/>
    <x v="1"/>
    <s v="Polar"/>
    <n v="37"/>
    <n v="172.58"/>
  </r>
  <r>
    <s v="SM-00969"/>
    <s v="Mission_969"/>
    <x v="2"/>
    <x v="1"/>
    <x v="885"/>
    <s v="Kourou"/>
    <x v="1"/>
    <x v="3"/>
    <x v="3"/>
    <n v="3"/>
    <n v="1315"/>
    <n v="4154.8100000000004"/>
    <n v="2116"/>
    <x v="0"/>
    <x v="1"/>
    <s v="GEO"/>
    <n v="14"/>
    <n v="183.83"/>
  </r>
  <r>
    <s v="SM-00970"/>
    <s v="Mission_970"/>
    <x v="1"/>
    <x v="5"/>
    <x v="886"/>
    <s v="Jiuquan"/>
    <x v="2"/>
    <x v="5"/>
    <x v="0"/>
    <n v="0"/>
    <n v="211"/>
    <n v="342.75"/>
    <n v="42100"/>
    <x v="1"/>
    <x v="1"/>
    <s v="MEO"/>
    <n v="19"/>
    <n v="36.58"/>
  </r>
  <r>
    <s v="SM-00971"/>
    <s v="Mission_971"/>
    <x v="4"/>
    <x v="4"/>
    <x v="887"/>
    <s v="Jiuquan"/>
    <x v="3"/>
    <x v="0"/>
    <x v="3"/>
    <n v="7"/>
    <n v="851"/>
    <n v="3459.79"/>
    <n v="43385"/>
    <x v="1"/>
    <x v="2"/>
    <s v="GEO"/>
    <n v="46"/>
    <n v="11.5"/>
  </r>
  <r>
    <s v="SM-00972"/>
    <s v="Mission_972"/>
    <x v="0"/>
    <x v="1"/>
    <x v="888"/>
    <s v="Jiuquan"/>
    <x v="3"/>
    <x v="4"/>
    <x v="4"/>
    <n v="3"/>
    <n v="385"/>
    <n v="4161.82"/>
    <n v="2644"/>
    <x v="1"/>
    <x v="0"/>
    <s v="Transfer Orbit"/>
    <n v="36"/>
    <n v="158.08000000000001"/>
  </r>
  <r>
    <s v="SM-00973"/>
    <s v="Mission_973"/>
    <x v="6"/>
    <x v="0"/>
    <x v="889"/>
    <s v="Tanegashima"/>
    <x v="2"/>
    <x v="3"/>
    <x v="3"/>
    <n v="2"/>
    <n v="1001"/>
    <n v="3393.38"/>
    <n v="11967"/>
    <x v="2"/>
    <x v="1"/>
    <s v="LEO"/>
    <n v="38"/>
    <n v="73.430000000000007"/>
  </r>
  <r>
    <s v="SM-00974"/>
    <s v="Mission_974"/>
    <x v="4"/>
    <x v="5"/>
    <x v="698"/>
    <s v="Sriharikota"/>
    <x v="4"/>
    <x v="4"/>
    <x v="3"/>
    <n v="0"/>
    <n v="627"/>
    <n v="2744.8"/>
    <n v="32252"/>
    <x v="1"/>
    <x v="0"/>
    <s v="Transfer Orbit"/>
    <n v="45"/>
    <n v="82.94"/>
  </r>
  <r>
    <s v="SM-00975"/>
    <s v="Mission_975"/>
    <x v="4"/>
    <x v="1"/>
    <x v="890"/>
    <s v="Baikonur"/>
    <x v="0"/>
    <x v="5"/>
    <x v="4"/>
    <n v="3"/>
    <n v="161"/>
    <n v="2717.96"/>
    <n v="33437"/>
    <x v="1"/>
    <x v="2"/>
    <s v="Polar"/>
    <n v="15"/>
    <n v="236.26"/>
  </r>
  <r>
    <s v="SM-00976"/>
    <s v="Mission_976"/>
    <x v="6"/>
    <x v="0"/>
    <x v="891"/>
    <s v="Tanegashima"/>
    <x v="5"/>
    <x v="2"/>
    <x v="2"/>
    <n v="7"/>
    <n v="93"/>
    <n v="3568.33"/>
    <n v="21051"/>
    <x v="2"/>
    <x v="1"/>
    <s v="Sun-Synchronous"/>
    <n v="1"/>
    <n v="22.18"/>
  </r>
  <r>
    <s v="SM-00977"/>
    <s v="Mission_977"/>
    <x v="5"/>
    <x v="4"/>
    <x v="892"/>
    <s v="Kennedy"/>
    <x v="5"/>
    <x v="4"/>
    <x v="3"/>
    <n v="7"/>
    <n v="412"/>
    <n v="481.2"/>
    <n v="2810"/>
    <x v="1"/>
    <x v="3"/>
    <s v="LEO"/>
    <n v="16"/>
    <n v="65.05"/>
  </r>
  <r>
    <s v="SM-00978"/>
    <s v="Mission_978"/>
    <x v="2"/>
    <x v="3"/>
    <x v="893"/>
    <s v="Baikonur"/>
    <x v="4"/>
    <x v="4"/>
    <x v="3"/>
    <n v="6"/>
    <n v="881"/>
    <n v="1234.43"/>
    <n v="35405"/>
    <x v="1"/>
    <x v="2"/>
    <s v="Polar"/>
    <n v="48"/>
    <n v="83.79"/>
  </r>
  <r>
    <s v="SM-00979"/>
    <s v="Mission_979"/>
    <x v="0"/>
    <x v="5"/>
    <x v="788"/>
    <s v="Sriharikota"/>
    <x v="0"/>
    <x v="3"/>
    <x v="4"/>
    <n v="5"/>
    <n v="919"/>
    <n v="4699.08"/>
    <n v="41843"/>
    <x v="1"/>
    <x v="3"/>
    <s v="Transfer Orbit"/>
    <n v="33"/>
    <n v="16.73"/>
  </r>
  <r>
    <s v="SM-00980"/>
    <s v="Mission_980"/>
    <x v="1"/>
    <x v="0"/>
    <x v="894"/>
    <s v="Baikonur"/>
    <x v="2"/>
    <x v="2"/>
    <x v="5"/>
    <n v="6"/>
    <n v="119"/>
    <n v="2497.06"/>
    <n v="8058"/>
    <x v="1"/>
    <x v="1"/>
    <s v="LEO"/>
    <n v="37"/>
    <n v="11.38"/>
  </r>
  <r>
    <s v="SM-00981"/>
    <s v="Mission_981"/>
    <x v="0"/>
    <x v="5"/>
    <x v="895"/>
    <s v="Jiuquan"/>
    <x v="0"/>
    <x v="5"/>
    <x v="4"/>
    <n v="4"/>
    <n v="1294"/>
    <n v="2938.71"/>
    <n v="36212"/>
    <x v="0"/>
    <x v="1"/>
    <s v="Sun-Synchronous"/>
    <n v="48"/>
    <n v="125.2"/>
  </r>
  <r>
    <s v="SM-00982"/>
    <s v="Mission_982"/>
    <x v="0"/>
    <x v="4"/>
    <x v="896"/>
    <s v="Sriharikota"/>
    <x v="0"/>
    <x v="2"/>
    <x v="3"/>
    <n v="5"/>
    <n v="82"/>
    <n v="2366.5700000000002"/>
    <n v="38669"/>
    <x v="0"/>
    <x v="3"/>
    <s v="MEO"/>
    <n v="5"/>
    <n v="202.24"/>
  </r>
  <r>
    <s v="SM-00983"/>
    <s v="Mission_983"/>
    <x v="4"/>
    <x v="4"/>
    <x v="897"/>
    <s v="Sriharikota"/>
    <x v="0"/>
    <x v="3"/>
    <x v="4"/>
    <n v="2"/>
    <n v="1388"/>
    <n v="4900.03"/>
    <n v="28230"/>
    <x v="2"/>
    <x v="2"/>
    <s v="LEO"/>
    <n v="6"/>
    <n v="224.22"/>
  </r>
  <r>
    <s v="SM-00984"/>
    <s v="Mission_984"/>
    <x v="0"/>
    <x v="1"/>
    <x v="898"/>
    <s v="Sriharikota"/>
    <x v="1"/>
    <x v="2"/>
    <x v="4"/>
    <n v="5"/>
    <n v="1133"/>
    <n v="2270.16"/>
    <n v="1734"/>
    <x v="1"/>
    <x v="1"/>
    <s v="GEO"/>
    <n v="2"/>
    <n v="93.05"/>
  </r>
  <r>
    <s v="SM-00985"/>
    <s v="Mission_985"/>
    <x v="2"/>
    <x v="2"/>
    <x v="831"/>
    <s v="Kourou"/>
    <x v="2"/>
    <x v="3"/>
    <x v="3"/>
    <n v="6"/>
    <n v="854"/>
    <n v="4744.57"/>
    <n v="44145"/>
    <x v="2"/>
    <x v="3"/>
    <s v="LEO"/>
    <n v="16"/>
    <n v="247.64"/>
  </r>
  <r>
    <s v="SM-00986"/>
    <s v="Mission_986"/>
    <x v="3"/>
    <x v="0"/>
    <x v="899"/>
    <s v="Tanegashima"/>
    <x v="1"/>
    <x v="4"/>
    <x v="2"/>
    <n v="6"/>
    <n v="1092"/>
    <n v="1546.47"/>
    <n v="34622"/>
    <x v="2"/>
    <x v="2"/>
    <s v="Transfer Orbit"/>
    <n v="15"/>
    <n v="83.43"/>
  </r>
  <r>
    <s v="SM-00987"/>
    <s v="Mission_987"/>
    <x v="4"/>
    <x v="3"/>
    <x v="900"/>
    <s v="Baikonur"/>
    <x v="2"/>
    <x v="4"/>
    <x v="2"/>
    <n v="0"/>
    <n v="237"/>
    <n v="835.67"/>
    <n v="10887"/>
    <x v="0"/>
    <x v="2"/>
    <s v="LEO"/>
    <n v="23"/>
    <n v="103.25"/>
  </r>
  <r>
    <s v="SM-00988"/>
    <s v="Mission_988"/>
    <x v="6"/>
    <x v="2"/>
    <x v="901"/>
    <s v="Kourou"/>
    <x v="3"/>
    <x v="0"/>
    <x v="4"/>
    <n v="5"/>
    <n v="195"/>
    <n v="636.53"/>
    <n v="9627"/>
    <x v="0"/>
    <x v="1"/>
    <s v="Sun-Synchronous"/>
    <n v="6"/>
    <n v="245.79"/>
  </r>
  <r>
    <s v="SM-00989"/>
    <s v="Mission_989"/>
    <x v="1"/>
    <x v="0"/>
    <x v="902"/>
    <s v="Jiuquan"/>
    <x v="2"/>
    <x v="4"/>
    <x v="2"/>
    <n v="7"/>
    <n v="523"/>
    <n v="3443.88"/>
    <n v="21327"/>
    <x v="1"/>
    <x v="0"/>
    <s v="Sun-Synchronous"/>
    <n v="15"/>
    <n v="113.65"/>
  </r>
  <r>
    <s v="SM-00990"/>
    <s v="Mission_990"/>
    <x v="4"/>
    <x v="4"/>
    <x v="903"/>
    <s v="Baikonur"/>
    <x v="2"/>
    <x v="3"/>
    <x v="4"/>
    <n v="1"/>
    <n v="698"/>
    <n v="416.83"/>
    <n v="18458"/>
    <x v="1"/>
    <x v="3"/>
    <s v="Transfer Orbit"/>
    <n v="27"/>
    <n v="239.89"/>
  </r>
  <r>
    <s v="SM-00991"/>
    <s v="Mission_991"/>
    <x v="6"/>
    <x v="5"/>
    <x v="904"/>
    <s v="Jiuquan"/>
    <x v="5"/>
    <x v="1"/>
    <x v="3"/>
    <n v="5"/>
    <n v="708"/>
    <n v="1456.72"/>
    <n v="603"/>
    <x v="1"/>
    <x v="2"/>
    <s v="Transfer Orbit"/>
    <n v="41"/>
    <n v="74.38"/>
  </r>
  <r>
    <s v="SM-00992"/>
    <s v="Mission_992"/>
    <x v="2"/>
    <x v="3"/>
    <x v="905"/>
    <s v="Kennedy"/>
    <x v="3"/>
    <x v="2"/>
    <x v="5"/>
    <n v="6"/>
    <n v="136"/>
    <n v="4616.67"/>
    <n v="32116"/>
    <x v="0"/>
    <x v="2"/>
    <s v="Sun-Synchronous"/>
    <n v="30"/>
    <n v="172.55"/>
  </r>
  <r>
    <s v="SM-00993"/>
    <s v="Mission_993"/>
    <x v="2"/>
    <x v="5"/>
    <x v="906"/>
    <s v="Sriharikota"/>
    <x v="0"/>
    <x v="2"/>
    <x v="4"/>
    <n v="0"/>
    <n v="488"/>
    <n v="3124.37"/>
    <n v="36954"/>
    <x v="2"/>
    <x v="2"/>
    <s v="GEO"/>
    <n v="14"/>
    <n v="154.02000000000001"/>
  </r>
  <r>
    <s v="SM-00994"/>
    <s v="Mission_994"/>
    <x v="3"/>
    <x v="5"/>
    <x v="271"/>
    <s v="Sriharikota"/>
    <x v="1"/>
    <x v="2"/>
    <x v="5"/>
    <n v="3"/>
    <n v="356"/>
    <n v="4587.51"/>
    <n v="39882"/>
    <x v="2"/>
    <x v="0"/>
    <s v="Polar"/>
    <n v="5"/>
    <n v="87.77"/>
  </r>
  <r>
    <s v="SM-00995"/>
    <s v="Mission_995"/>
    <x v="6"/>
    <x v="1"/>
    <x v="907"/>
    <s v="Kourou"/>
    <x v="3"/>
    <x v="3"/>
    <x v="3"/>
    <n v="3"/>
    <n v="1476"/>
    <n v="2767.92"/>
    <n v="42148"/>
    <x v="0"/>
    <x v="2"/>
    <s v="GEO"/>
    <n v="43"/>
    <n v="51.61"/>
  </r>
  <r>
    <s v="SM-00996"/>
    <s v="Mission_996"/>
    <x v="1"/>
    <x v="0"/>
    <x v="908"/>
    <s v="Sriharikota"/>
    <x v="1"/>
    <x v="1"/>
    <x v="0"/>
    <n v="0"/>
    <n v="848"/>
    <n v="4197.34"/>
    <n v="34040"/>
    <x v="0"/>
    <x v="2"/>
    <s v="MEO"/>
    <n v="38"/>
    <n v="5.97"/>
  </r>
  <r>
    <s v="SM-00997"/>
    <s v="Mission_997"/>
    <x v="5"/>
    <x v="4"/>
    <x v="909"/>
    <s v="Sriharikota"/>
    <x v="4"/>
    <x v="5"/>
    <x v="0"/>
    <n v="6"/>
    <n v="1027"/>
    <n v="1293.67"/>
    <n v="26217"/>
    <x v="0"/>
    <x v="0"/>
    <s v="Transfer Orbit"/>
    <n v="11"/>
    <n v="86.16"/>
  </r>
  <r>
    <s v="SM-00998"/>
    <s v="Mission_998"/>
    <x v="4"/>
    <x v="5"/>
    <x v="474"/>
    <s v="Sriharikota"/>
    <x v="0"/>
    <x v="1"/>
    <x v="3"/>
    <n v="7"/>
    <n v="411"/>
    <n v="4353.6400000000003"/>
    <n v="42619"/>
    <x v="0"/>
    <x v="3"/>
    <s v="Polar"/>
    <n v="7"/>
    <n v="113.66"/>
  </r>
  <r>
    <s v="SM-00999"/>
    <s v="Mission_999"/>
    <x v="3"/>
    <x v="3"/>
    <x v="910"/>
    <s v="Baikonur"/>
    <x v="2"/>
    <x v="1"/>
    <x v="2"/>
    <n v="4"/>
    <n v="692"/>
    <n v="960.31"/>
    <n v="32323"/>
    <x v="0"/>
    <x v="3"/>
    <s v="Sun-Synchronous"/>
    <n v="32"/>
    <n v="178.88"/>
  </r>
  <r>
    <s v="SM-01000"/>
    <s v="Mission_1000"/>
    <x v="2"/>
    <x v="4"/>
    <x v="911"/>
    <s v="Kennedy"/>
    <x v="2"/>
    <x v="2"/>
    <x v="0"/>
    <n v="3"/>
    <n v="333"/>
    <n v="2670.89"/>
    <n v="9906"/>
    <x v="2"/>
    <x v="0"/>
    <s v="LEO"/>
    <n v="36"/>
    <n v="171.52"/>
  </r>
  <r>
    <s v="SM-01001"/>
    <s v="Mission_1001"/>
    <x v="2"/>
    <x v="5"/>
    <x v="912"/>
    <s v="Kennedy"/>
    <x v="1"/>
    <x v="2"/>
    <x v="3"/>
    <n v="4"/>
    <n v="125"/>
    <n v="4891.63"/>
    <n v="49001"/>
    <x v="0"/>
    <x v="1"/>
    <s v="Polar"/>
    <n v="50"/>
    <n v="86.73"/>
  </r>
  <r>
    <s v="SM-01002"/>
    <s v="Mission_1002"/>
    <x v="2"/>
    <x v="0"/>
    <x v="251"/>
    <s v="Kennedy"/>
    <x v="0"/>
    <x v="4"/>
    <x v="4"/>
    <n v="2"/>
    <n v="747"/>
    <n v="2868.31"/>
    <n v="49168"/>
    <x v="0"/>
    <x v="1"/>
    <s v="GEO"/>
    <n v="6"/>
    <n v="167.3"/>
  </r>
  <r>
    <s v="SM-01003"/>
    <s v="Mission_1003"/>
    <x v="0"/>
    <x v="3"/>
    <x v="913"/>
    <s v="Jiuquan"/>
    <x v="5"/>
    <x v="1"/>
    <x v="5"/>
    <n v="6"/>
    <n v="743"/>
    <n v="2726.12"/>
    <n v="42444"/>
    <x v="1"/>
    <x v="2"/>
    <s v="MEO"/>
    <n v="11"/>
    <n v="17.21"/>
  </r>
  <r>
    <s v="SM-01004"/>
    <s v="Mission_1004"/>
    <x v="5"/>
    <x v="4"/>
    <x v="914"/>
    <s v="Jiuquan"/>
    <x v="2"/>
    <x v="3"/>
    <x v="1"/>
    <n v="6"/>
    <n v="100"/>
    <n v="2872.28"/>
    <n v="27996"/>
    <x v="1"/>
    <x v="2"/>
    <s v="GEO"/>
    <n v="5"/>
    <n v="125.12"/>
  </r>
  <r>
    <s v="SM-01005"/>
    <s v="Mission_1005"/>
    <x v="5"/>
    <x v="5"/>
    <x v="915"/>
    <s v="Tanegashima"/>
    <x v="3"/>
    <x v="0"/>
    <x v="4"/>
    <n v="1"/>
    <n v="1134"/>
    <n v="1722.17"/>
    <n v="30241"/>
    <x v="2"/>
    <x v="0"/>
    <s v="GEO"/>
    <n v="45"/>
    <n v="83.23"/>
  </r>
  <r>
    <s v="SM-01006"/>
    <s v="Mission_1006"/>
    <x v="2"/>
    <x v="1"/>
    <x v="831"/>
    <s v="Tanegashima"/>
    <x v="5"/>
    <x v="5"/>
    <x v="5"/>
    <n v="3"/>
    <n v="905"/>
    <n v="2801.45"/>
    <n v="38034"/>
    <x v="1"/>
    <x v="1"/>
    <s v="Transfer Orbit"/>
    <n v="13"/>
    <n v="240.55"/>
  </r>
  <r>
    <s v="SM-01007"/>
    <s v="Mission_1007"/>
    <x v="2"/>
    <x v="3"/>
    <x v="321"/>
    <s v="Tanegashima"/>
    <x v="5"/>
    <x v="5"/>
    <x v="1"/>
    <n v="5"/>
    <n v="1471"/>
    <n v="3819.53"/>
    <n v="2181"/>
    <x v="0"/>
    <x v="2"/>
    <s v="Sun-Synchronous"/>
    <n v="46"/>
    <n v="238.64"/>
  </r>
  <r>
    <s v="SM-01008"/>
    <s v="Mission_1008"/>
    <x v="3"/>
    <x v="2"/>
    <x v="916"/>
    <s v="Sriharikota"/>
    <x v="5"/>
    <x v="3"/>
    <x v="4"/>
    <n v="3"/>
    <n v="207"/>
    <n v="1482.63"/>
    <n v="17843"/>
    <x v="0"/>
    <x v="0"/>
    <s v="GEO"/>
    <n v="50"/>
    <n v="142.69999999999999"/>
  </r>
  <r>
    <s v="SM-01009"/>
    <s v="Mission_1009"/>
    <x v="6"/>
    <x v="3"/>
    <x v="917"/>
    <s v="Kennedy"/>
    <x v="4"/>
    <x v="1"/>
    <x v="2"/>
    <n v="4"/>
    <n v="2"/>
    <n v="1939.63"/>
    <n v="10385"/>
    <x v="2"/>
    <x v="0"/>
    <s v="LEO"/>
    <n v="5"/>
    <n v="195.71"/>
  </r>
  <r>
    <s v="SM-01010"/>
    <s v="Mission_1010"/>
    <x v="1"/>
    <x v="2"/>
    <x v="918"/>
    <s v="Kennedy"/>
    <x v="5"/>
    <x v="4"/>
    <x v="0"/>
    <n v="2"/>
    <n v="1291"/>
    <n v="4097.37"/>
    <n v="44838"/>
    <x v="0"/>
    <x v="3"/>
    <s v="GEO"/>
    <n v="42"/>
    <n v="122.98"/>
  </r>
  <r>
    <s v="SM-01011"/>
    <s v="Mission_1011"/>
    <x v="2"/>
    <x v="1"/>
    <x v="919"/>
    <s v="Kourou"/>
    <x v="5"/>
    <x v="2"/>
    <x v="3"/>
    <n v="5"/>
    <n v="607"/>
    <n v="2650.11"/>
    <n v="31427"/>
    <x v="0"/>
    <x v="2"/>
    <s v="Sun-Synchronous"/>
    <n v="41"/>
    <n v="151.72"/>
  </r>
  <r>
    <s v="SM-01012"/>
    <s v="Mission_1012"/>
    <x v="4"/>
    <x v="5"/>
    <x v="920"/>
    <s v="Jiuquan"/>
    <x v="0"/>
    <x v="5"/>
    <x v="5"/>
    <n v="2"/>
    <n v="1348"/>
    <n v="3766.89"/>
    <n v="23284"/>
    <x v="0"/>
    <x v="1"/>
    <s v="Sun-Synchronous"/>
    <n v="7"/>
    <n v="248.85"/>
  </r>
  <r>
    <s v="SM-01013"/>
    <s v="Mission_1013"/>
    <x v="6"/>
    <x v="1"/>
    <x v="921"/>
    <s v="Kourou"/>
    <x v="0"/>
    <x v="1"/>
    <x v="3"/>
    <n v="7"/>
    <n v="489"/>
    <n v="2941.4"/>
    <n v="44051"/>
    <x v="2"/>
    <x v="2"/>
    <s v="Polar"/>
    <n v="3"/>
    <n v="205.11"/>
  </r>
  <r>
    <s v="SM-01014"/>
    <s v="Mission_1014"/>
    <x v="4"/>
    <x v="3"/>
    <x v="922"/>
    <s v="Jiuquan"/>
    <x v="3"/>
    <x v="0"/>
    <x v="5"/>
    <n v="6"/>
    <n v="924"/>
    <n v="4340.87"/>
    <n v="44260"/>
    <x v="2"/>
    <x v="1"/>
    <s v="Transfer Orbit"/>
    <n v="30"/>
    <n v="239.51"/>
  </r>
  <r>
    <s v="SM-01015"/>
    <s v="Mission_1015"/>
    <x v="4"/>
    <x v="4"/>
    <x v="923"/>
    <s v="Jiuquan"/>
    <x v="1"/>
    <x v="3"/>
    <x v="2"/>
    <n v="5"/>
    <n v="269"/>
    <n v="3918.35"/>
    <n v="7244"/>
    <x v="0"/>
    <x v="1"/>
    <s v="Sun-Synchronous"/>
    <n v="8"/>
    <n v="6.71"/>
  </r>
  <r>
    <s v="SM-01016"/>
    <s v="Mission_1016"/>
    <x v="4"/>
    <x v="2"/>
    <x v="924"/>
    <s v="Tanegashima"/>
    <x v="4"/>
    <x v="4"/>
    <x v="2"/>
    <n v="6"/>
    <n v="719"/>
    <n v="1271.78"/>
    <n v="35947"/>
    <x v="2"/>
    <x v="0"/>
    <s v="Sun-Synchronous"/>
    <n v="8"/>
    <n v="169.79"/>
  </r>
  <r>
    <s v="SM-01017"/>
    <s v="Mission_1017"/>
    <x v="5"/>
    <x v="4"/>
    <x v="925"/>
    <s v="Tanegashima"/>
    <x v="0"/>
    <x v="4"/>
    <x v="4"/>
    <n v="4"/>
    <n v="334"/>
    <n v="3237.84"/>
    <n v="19762"/>
    <x v="2"/>
    <x v="1"/>
    <s v="Polar"/>
    <n v="44"/>
    <n v="97.65"/>
  </r>
  <r>
    <s v="SM-01018"/>
    <s v="Mission_1018"/>
    <x v="1"/>
    <x v="4"/>
    <x v="926"/>
    <s v="Kennedy"/>
    <x v="1"/>
    <x v="4"/>
    <x v="0"/>
    <n v="0"/>
    <n v="130"/>
    <n v="2682.63"/>
    <n v="8384"/>
    <x v="1"/>
    <x v="0"/>
    <s v="GEO"/>
    <n v="42"/>
    <n v="69.66"/>
  </r>
  <r>
    <s v="SM-01019"/>
    <s v="Mission_1019"/>
    <x v="0"/>
    <x v="4"/>
    <x v="402"/>
    <s v="Tanegashima"/>
    <x v="1"/>
    <x v="3"/>
    <x v="5"/>
    <n v="4"/>
    <n v="716"/>
    <n v="2516.56"/>
    <n v="14155"/>
    <x v="0"/>
    <x v="3"/>
    <s v="Sun-Synchronous"/>
    <n v="14"/>
    <n v="248.6"/>
  </r>
  <r>
    <s v="SM-01020"/>
    <s v="Mission_1020"/>
    <x v="3"/>
    <x v="1"/>
    <x v="927"/>
    <s v="Jiuquan"/>
    <x v="2"/>
    <x v="4"/>
    <x v="0"/>
    <n v="7"/>
    <n v="1488"/>
    <n v="1803.01"/>
    <n v="46596"/>
    <x v="1"/>
    <x v="1"/>
    <s v="Transfer Orbit"/>
    <n v="48"/>
    <n v="64.150000000000006"/>
  </r>
  <r>
    <s v="SM-01021"/>
    <s v="Mission_1021"/>
    <x v="1"/>
    <x v="5"/>
    <x v="928"/>
    <s v="Baikonur"/>
    <x v="1"/>
    <x v="5"/>
    <x v="3"/>
    <n v="5"/>
    <n v="1034"/>
    <n v="1456.34"/>
    <n v="12937"/>
    <x v="2"/>
    <x v="0"/>
    <s v="Sun-Synchronous"/>
    <n v="20"/>
    <n v="9.6"/>
  </r>
  <r>
    <s v="SM-01022"/>
    <s v="Mission_1022"/>
    <x v="2"/>
    <x v="5"/>
    <x v="929"/>
    <s v="Kennedy"/>
    <x v="5"/>
    <x v="3"/>
    <x v="2"/>
    <n v="0"/>
    <n v="1372"/>
    <n v="2619.64"/>
    <n v="49572"/>
    <x v="1"/>
    <x v="3"/>
    <s v="Polar"/>
    <n v="46"/>
    <n v="91.62"/>
  </r>
  <r>
    <s v="SM-01023"/>
    <s v="Mission_1023"/>
    <x v="4"/>
    <x v="3"/>
    <x v="930"/>
    <s v="Jiuquan"/>
    <x v="2"/>
    <x v="0"/>
    <x v="0"/>
    <n v="4"/>
    <n v="348"/>
    <n v="2135.3200000000002"/>
    <n v="49214"/>
    <x v="0"/>
    <x v="1"/>
    <s v="MEO"/>
    <n v="24"/>
    <n v="194.11"/>
  </r>
  <r>
    <s v="SM-01024"/>
    <s v="Mission_1024"/>
    <x v="0"/>
    <x v="1"/>
    <x v="629"/>
    <s v="Baikonur"/>
    <x v="5"/>
    <x v="4"/>
    <x v="2"/>
    <n v="6"/>
    <n v="640"/>
    <n v="4728.99"/>
    <n v="10968"/>
    <x v="1"/>
    <x v="2"/>
    <s v="Polar"/>
    <n v="46"/>
    <n v="130.12"/>
  </r>
  <r>
    <s v="SM-01025"/>
    <s v="Mission_1025"/>
    <x v="2"/>
    <x v="1"/>
    <x v="905"/>
    <s v="Tanegashima"/>
    <x v="1"/>
    <x v="1"/>
    <x v="4"/>
    <n v="1"/>
    <n v="450"/>
    <n v="2832.26"/>
    <n v="17002"/>
    <x v="0"/>
    <x v="0"/>
    <s v="LEO"/>
    <n v="45"/>
    <n v="10.94"/>
  </r>
  <r>
    <s v="SM-01026"/>
    <s v="Mission_1026"/>
    <x v="3"/>
    <x v="4"/>
    <x v="931"/>
    <s v="Baikonur"/>
    <x v="1"/>
    <x v="4"/>
    <x v="4"/>
    <n v="8"/>
    <n v="369"/>
    <n v="1817.66"/>
    <n v="5881"/>
    <x v="1"/>
    <x v="1"/>
    <s v="Transfer Orbit"/>
    <n v="36"/>
    <n v="249.8"/>
  </r>
  <r>
    <s v="SM-01027"/>
    <s v="Mission_1027"/>
    <x v="4"/>
    <x v="3"/>
    <x v="932"/>
    <s v="Baikonur"/>
    <x v="3"/>
    <x v="4"/>
    <x v="2"/>
    <n v="7"/>
    <n v="882"/>
    <n v="3313.83"/>
    <n v="37875"/>
    <x v="1"/>
    <x v="2"/>
    <s v="LEO"/>
    <n v="50"/>
    <n v="119.32"/>
  </r>
  <r>
    <s v="SM-01028"/>
    <s v="Mission_1028"/>
    <x v="6"/>
    <x v="4"/>
    <x v="933"/>
    <s v="Jiuquan"/>
    <x v="3"/>
    <x v="4"/>
    <x v="4"/>
    <n v="5"/>
    <n v="616"/>
    <n v="1999.91"/>
    <n v="18787"/>
    <x v="2"/>
    <x v="1"/>
    <s v="MEO"/>
    <n v="40"/>
    <n v="0.99"/>
  </r>
  <r>
    <s v="SM-01029"/>
    <s v="Mission_1029"/>
    <x v="6"/>
    <x v="2"/>
    <x v="934"/>
    <s v="Kennedy"/>
    <x v="0"/>
    <x v="4"/>
    <x v="3"/>
    <n v="0"/>
    <n v="950"/>
    <n v="702.17"/>
    <n v="35266"/>
    <x v="0"/>
    <x v="3"/>
    <s v="LEO"/>
    <n v="30"/>
    <n v="15.91"/>
  </r>
  <r>
    <s v="SM-01030"/>
    <s v="Mission_1030"/>
    <x v="2"/>
    <x v="1"/>
    <x v="935"/>
    <s v="Kourou"/>
    <x v="5"/>
    <x v="3"/>
    <x v="2"/>
    <n v="4"/>
    <n v="128"/>
    <n v="3235.83"/>
    <n v="23193"/>
    <x v="0"/>
    <x v="3"/>
    <s v="Polar"/>
    <n v="11"/>
    <n v="229.23"/>
  </r>
  <r>
    <s v="SM-01031"/>
    <s v="Mission_1031"/>
    <x v="2"/>
    <x v="1"/>
    <x v="936"/>
    <s v="Jiuquan"/>
    <x v="3"/>
    <x v="4"/>
    <x v="3"/>
    <n v="3"/>
    <n v="450"/>
    <n v="4228.71"/>
    <n v="42015"/>
    <x v="1"/>
    <x v="1"/>
    <s v="LEO"/>
    <n v="17"/>
    <n v="52.88"/>
  </r>
  <r>
    <s v="SM-01032"/>
    <s v="Mission_1032"/>
    <x v="3"/>
    <x v="0"/>
    <x v="937"/>
    <s v="Sriharikota"/>
    <x v="2"/>
    <x v="3"/>
    <x v="5"/>
    <n v="4"/>
    <n v="492"/>
    <n v="4540.08"/>
    <n v="45740"/>
    <x v="0"/>
    <x v="0"/>
    <s v="Transfer Orbit"/>
    <n v="29"/>
    <n v="186.02"/>
  </r>
  <r>
    <s v="SM-01033"/>
    <s v="Mission_1033"/>
    <x v="3"/>
    <x v="3"/>
    <x v="226"/>
    <s v="Kennedy"/>
    <x v="2"/>
    <x v="2"/>
    <x v="2"/>
    <n v="5"/>
    <n v="362"/>
    <n v="2827.36"/>
    <n v="33290"/>
    <x v="1"/>
    <x v="3"/>
    <s v="Sun-Synchronous"/>
    <n v="24"/>
    <n v="212.76"/>
  </r>
  <r>
    <s v="SM-01034"/>
    <s v="Mission_1034"/>
    <x v="4"/>
    <x v="0"/>
    <x v="938"/>
    <s v="Kennedy"/>
    <x v="2"/>
    <x v="0"/>
    <x v="2"/>
    <n v="8"/>
    <n v="1061"/>
    <n v="4296.99"/>
    <n v="22168"/>
    <x v="1"/>
    <x v="0"/>
    <s v="Sun-Synchronous"/>
    <n v="8"/>
    <n v="21.08"/>
  </r>
  <r>
    <s v="SM-01035"/>
    <s v="Mission_1035"/>
    <x v="4"/>
    <x v="1"/>
    <x v="939"/>
    <s v="Baikonur"/>
    <x v="4"/>
    <x v="4"/>
    <x v="4"/>
    <n v="8"/>
    <n v="1113"/>
    <n v="3325.45"/>
    <n v="17546"/>
    <x v="2"/>
    <x v="1"/>
    <s v="Transfer Orbit"/>
    <n v="44"/>
    <n v="153.69"/>
  </r>
  <r>
    <s v="SM-01036"/>
    <s v="Mission_1036"/>
    <x v="1"/>
    <x v="4"/>
    <x v="940"/>
    <s v="Tanegashima"/>
    <x v="2"/>
    <x v="3"/>
    <x v="4"/>
    <n v="6"/>
    <n v="254"/>
    <n v="2209.96"/>
    <n v="7974"/>
    <x v="1"/>
    <x v="1"/>
    <s v="MEO"/>
    <n v="31"/>
    <n v="53.26"/>
  </r>
  <r>
    <s v="SM-01037"/>
    <s v="Mission_1037"/>
    <x v="3"/>
    <x v="1"/>
    <x v="941"/>
    <s v="Kennedy"/>
    <x v="1"/>
    <x v="5"/>
    <x v="1"/>
    <n v="3"/>
    <n v="1442"/>
    <n v="3473.07"/>
    <n v="22371"/>
    <x v="2"/>
    <x v="2"/>
    <s v="MEO"/>
    <n v="3"/>
    <n v="142.94"/>
  </r>
  <r>
    <s v="SM-01038"/>
    <s v="Mission_1038"/>
    <x v="4"/>
    <x v="2"/>
    <x v="942"/>
    <s v="Baikonur"/>
    <x v="4"/>
    <x v="3"/>
    <x v="3"/>
    <n v="1"/>
    <n v="886"/>
    <n v="62.94"/>
    <n v="28145"/>
    <x v="2"/>
    <x v="0"/>
    <s v="LEO"/>
    <n v="5"/>
    <n v="243.55"/>
  </r>
  <r>
    <s v="SM-01039"/>
    <s v="Mission_1039"/>
    <x v="0"/>
    <x v="2"/>
    <x v="943"/>
    <s v="Kennedy"/>
    <x v="0"/>
    <x v="2"/>
    <x v="2"/>
    <n v="0"/>
    <n v="289"/>
    <n v="2763.5"/>
    <n v="39907"/>
    <x v="1"/>
    <x v="0"/>
    <s v="Transfer Orbit"/>
    <n v="16"/>
    <n v="202.48"/>
  </r>
  <r>
    <s v="SM-01040"/>
    <s v="Mission_1040"/>
    <x v="1"/>
    <x v="2"/>
    <x v="944"/>
    <s v="Jiuquan"/>
    <x v="0"/>
    <x v="5"/>
    <x v="2"/>
    <n v="3"/>
    <n v="391"/>
    <n v="2548.9299999999998"/>
    <n v="40876"/>
    <x v="2"/>
    <x v="3"/>
    <s v="Polar"/>
    <n v="10"/>
    <n v="85.09"/>
  </r>
  <r>
    <s v="SM-01041"/>
    <s v="Mission_1041"/>
    <x v="1"/>
    <x v="0"/>
    <x v="945"/>
    <s v="Kennedy"/>
    <x v="5"/>
    <x v="5"/>
    <x v="3"/>
    <n v="2"/>
    <n v="36"/>
    <n v="4984.75"/>
    <n v="28543"/>
    <x v="2"/>
    <x v="0"/>
    <s v="MEO"/>
    <n v="24"/>
    <n v="127.15"/>
  </r>
  <r>
    <s v="SM-01042"/>
    <s v="Mission_1042"/>
    <x v="4"/>
    <x v="3"/>
    <x v="946"/>
    <s v="Tanegashima"/>
    <x v="2"/>
    <x v="3"/>
    <x v="4"/>
    <n v="1"/>
    <n v="1150"/>
    <n v="1348.35"/>
    <n v="9504"/>
    <x v="1"/>
    <x v="3"/>
    <s v="Polar"/>
    <n v="27"/>
    <n v="91"/>
  </r>
  <r>
    <s v="SM-01043"/>
    <s v="Mission_1043"/>
    <x v="3"/>
    <x v="2"/>
    <x v="101"/>
    <s v="Kourou"/>
    <x v="3"/>
    <x v="2"/>
    <x v="1"/>
    <n v="4"/>
    <n v="272"/>
    <n v="1249.6199999999999"/>
    <n v="30435"/>
    <x v="2"/>
    <x v="1"/>
    <s v="Sun-Synchronous"/>
    <n v="36"/>
    <n v="236.02"/>
  </r>
  <r>
    <s v="SM-01044"/>
    <s v="Mission_1044"/>
    <x v="1"/>
    <x v="0"/>
    <x v="947"/>
    <s v="Baikonur"/>
    <x v="5"/>
    <x v="5"/>
    <x v="2"/>
    <n v="5"/>
    <n v="1500"/>
    <n v="2019.08"/>
    <n v="15479"/>
    <x v="1"/>
    <x v="0"/>
    <s v="Polar"/>
    <n v="15"/>
    <n v="94.04"/>
  </r>
  <r>
    <s v="SM-01045"/>
    <s v="Mission_1045"/>
    <x v="1"/>
    <x v="1"/>
    <x v="948"/>
    <s v="Kennedy"/>
    <x v="2"/>
    <x v="3"/>
    <x v="3"/>
    <n v="7"/>
    <n v="1160"/>
    <n v="753.97"/>
    <n v="28999"/>
    <x v="1"/>
    <x v="2"/>
    <s v="GEO"/>
    <n v="26"/>
    <n v="1.63"/>
  </r>
  <r>
    <s v="SM-01046"/>
    <s v="Mission_1046"/>
    <x v="1"/>
    <x v="1"/>
    <x v="949"/>
    <s v="Kourou"/>
    <x v="2"/>
    <x v="5"/>
    <x v="3"/>
    <n v="6"/>
    <n v="1061"/>
    <n v="1764.39"/>
    <n v="20765"/>
    <x v="2"/>
    <x v="2"/>
    <s v="MEO"/>
    <n v="39"/>
    <n v="172.94"/>
  </r>
  <r>
    <s v="SM-01047"/>
    <s v="Mission_1047"/>
    <x v="1"/>
    <x v="3"/>
    <x v="950"/>
    <s v="Sriharikota"/>
    <x v="4"/>
    <x v="2"/>
    <x v="4"/>
    <n v="7"/>
    <n v="1159"/>
    <n v="2704.17"/>
    <n v="36447"/>
    <x v="0"/>
    <x v="2"/>
    <s v="Sun-Synchronous"/>
    <n v="39"/>
    <n v="87.95"/>
  </r>
  <r>
    <s v="SM-01048"/>
    <s v="Mission_1048"/>
    <x v="2"/>
    <x v="1"/>
    <x v="951"/>
    <s v="Tanegashima"/>
    <x v="5"/>
    <x v="4"/>
    <x v="2"/>
    <n v="5"/>
    <n v="761"/>
    <n v="211.11"/>
    <n v="32349"/>
    <x v="2"/>
    <x v="1"/>
    <s v="GEO"/>
    <n v="23"/>
    <n v="1.59"/>
  </r>
  <r>
    <s v="SM-01049"/>
    <s v="Mission_1049"/>
    <x v="0"/>
    <x v="2"/>
    <x v="952"/>
    <s v="Baikonur"/>
    <x v="2"/>
    <x v="5"/>
    <x v="1"/>
    <n v="8"/>
    <n v="46"/>
    <n v="3523.53"/>
    <n v="45529"/>
    <x v="1"/>
    <x v="2"/>
    <s v="LEO"/>
    <n v="23"/>
    <n v="3.23"/>
  </r>
  <r>
    <s v="SM-01050"/>
    <s v="Mission_1050"/>
    <x v="5"/>
    <x v="5"/>
    <x v="827"/>
    <s v="Sriharikota"/>
    <x v="1"/>
    <x v="1"/>
    <x v="3"/>
    <n v="8"/>
    <n v="499"/>
    <n v="2216.0100000000002"/>
    <n v="36458"/>
    <x v="1"/>
    <x v="2"/>
    <s v="GEO"/>
    <n v="45"/>
    <n v="210.19"/>
  </r>
  <r>
    <s v="SM-01051"/>
    <s v="Mission_1051"/>
    <x v="5"/>
    <x v="1"/>
    <x v="953"/>
    <s v="Tanegashima"/>
    <x v="5"/>
    <x v="4"/>
    <x v="3"/>
    <n v="0"/>
    <n v="133"/>
    <n v="517.98"/>
    <n v="3731"/>
    <x v="1"/>
    <x v="0"/>
    <s v="MEO"/>
    <n v="36"/>
    <n v="79.95"/>
  </r>
  <r>
    <s v="SM-01052"/>
    <s v="Mission_1052"/>
    <x v="2"/>
    <x v="2"/>
    <x v="954"/>
    <s v="Kourou"/>
    <x v="2"/>
    <x v="5"/>
    <x v="1"/>
    <n v="3"/>
    <n v="1264"/>
    <n v="1543.09"/>
    <n v="8974"/>
    <x v="1"/>
    <x v="0"/>
    <s v="Sun-Synchronous"/>
    <n v="23"/>
    <n v="141.15"/>
  </r>
  <r>
    <s v="SM-01053"/>
    <s v="Mission_1053"/>
    <x v="0"/>
    <x v="4"/>
    <x v="955"/>
    <s v="Tanegashima"/>
    <x v="5"/>
    <x v="5"/>
    <x v="1"/>
    <n v="1"/>
    <n v="172"/>
    <n v="321.35000000000002"/>
    <n v="4105"/>
    <x v="2"/>
    <x v="2"/>
    <s v="GEO"/>
    <n v="23"/>
    <n v="162.09"/>
  </r>
  <r>
    <s v="SM-01054"/>
    <s v="Mission_1054"/>
    <x v="6"/>
    <x v="4"/>
    <x v="956"/>
    <s v="Kourou"/>
    <x v="0"/>
    <x v="5"/>
    <x v="2"/>
    <n v="3"/>
    <n v="854"/>
    <n v="2588.7800000000002"/>
    <n v="24940"/>
    <x v="0"/>
    <x v="2"/>
    <s v="Polar"/>
    <n v="23"/>
    <n v="46.64"/>
  </r>
  <r>
    <s v="SM-01055"/>
    <s v="Mission_1055"/>
    <x v="5"/>
    <x v="5"/>
    <x v="957"/>
    <s v="Jiuquan"/>
    <x v="2"/>
    <x v="1"/>
    <x v="5"/>
    <n v="6"/>
    <n v="66"/>
    <n v="3676.47"/>
    <n v="13019"/>
    <x v="1"/>
    <x v="0"/>
    <s v="MEO"/>
    <n v="48"/>
    <n v="154.29"/>
  </r>
  <r>
    <s v="SM-01056"/>
    <s v="Mission_1056"/>
    <x v="1"/>
    <x v="0"/>
    <x v="958"/>
    <s v="Jiuquan"/>
    <x v="1"/>
    <x v="1"/>
    <x v="5"/>
    <n v="4"/>
    <n v="98"/>
    <n v="3755.58"/>
    <n v="29311"/>
    <x v="2"/>
    <x v="0"/>
    <s v="Transfer Orbit"/>
    <n v="5"/>
    <n v="40.76"/>
  </r>
  <r>
    <s v="SM-01057"/>
    <s v="Mission_1057"/>
    <x v="5"/>
    <x v="1"/>
    <x v="959"/>
    <s v="Kourou"/>
    <x v="2"/>
    <x v="4"/>
    <x v="1"/>
    <n v="0"/>
    <n v="578"/>
    <n v="622.55999999999995"/>
    <n v="46653"/>
    <x v="2"/>
    <x v="0"/>
    <s v="LEO"/>
    <n v="8"/>
    <n v="235.02"/>
  </r>
  <r>
    <s v="SM-01058"/>
    <s v="Mission_1058"/>
    <x v="4"/>
    <x v="2"/>
    <x v="960"/>
    <s v="Tanegashima"/>
    <x v="4"/>
    <x v="0"/>
    <x v="2"/>
    <n v="8"/>
    <n v="987"/>
    <n v="3174.73"/>
    <n v="18630"/>
    <x v="1"/>
    <x v="1"/>
    <s v="LEO"/>
    <n v="13"/>
    <n v="11.29"/>
  </r>
  <r>
    <s v="SM-01059"/>
    <s v="Mission_1059"/>
    <x v="1"/>
    <x v="4"/>
    <x v="961"/>
    <s v="Kennedy"/>
    <x v="4"/>
    <x v="2"/>
    <x v="5"/>
    <n v="5"/>
    <n v="439"/>
    <n v="897.6"/>
    <n v="35320"/>
    <x v="1"/>
    <x v="3"/>
    <s v="LEO"/>
    <n v="6"/>
    <n v="52.41"/>
  </r>
  <r>
    <s v="SM-01060"/>
    <s v="Mission_1060"/>
    <x v="1"/>
    <x v="2"/>
    <x v="962"/>
    <s v="Kennedy"/>
    <x v="0"/>
    <x v="1"/>
    <x v="4"/>
    <n v="7"/>
    <n v="693"/>
    <n v="2877.51"/>
    <n v="8553"/>
    <x v="2"/>
    <x v="0"/>
    <s v="Transfer Orbit"/>
    <n v="34"/>
    <n v="147.25"/>
  </r>
  <r>
    <s v="SM-01061"/>
    <s v="Mission_1061"/>
    <x v="2"/>
    <x v="5"/>
    <x v="963"/>
    <s v="Sriharikota"/>
    <x v="5"/>
    <x v="4"/>
    <x v="3"/>
    <n v="2"/>
    <n v="209"/>
    <n v="4409.08"/>
    <n v="3692"/>
    <x v="0"/>
    <x v="0"/>
    <s v="LEO"/>
    <n v="31"/>
    <n v="4.28"/>
  </r>
  <r>
    <s v="SM-01062"/>
    <s v="Mission_1062"/>
    <x v="5"/>
    <x v="4"/>
    <x v="964"/>
    <s v="Sriharikota"/>
    <x v="1"/>
    <x v="2"/>
    <x v="3"/>
    <n v="3"/>
    <n v="1371"/>
    <n v="3438"/>
    <n v="44343"/>
    <x v="1"/>
    <x v="3"/>
    <s v="MEO"/>
    <n v="41"/>
    <n v="109.85"/>
  </r>
  <r>
    <s v="SM-01063"/>
    <s v="Mission_1063"/>
    <x v="6"/>
    <x v="0"/>
    <x v="965"/>
    <s v="Sriharikota"/>
    <x v="0"/>
    <x v="4"/>
    <x v="0"/>
    <n v="8"/>
    <n v="81"/>
    <n v="2566.4699999999998"/>
    <n v="11074"/>
    <x v="2"/>
    <x v="0"/>
    <s v="GEO"/>
    <n v="40"/>
    <n v="31.34"/>
  </r>
  <r>
    <s v="SM-01064"/>
    <s v="Mission_1064"/>
    <x v="0"/>
    <x v="2"/>
    <x v="966"/>
    <s v="Jiuquan"/>
    <x v="4"/>
    <x v="3"/>
    <x v="3"/>
    <n v="2"/>
    <n v="16"/>
    <n v="2594.71"/>
    <n v="4093"/>
    <x v="1"/>
    <x v="0"/>
    <s v="LEO"/>
    <n v="2"/>
    <n v="32.9"/>
  </r>
  <r>
    <s v="SM-01065"/>
    <s v="Mission_1065"/>
    <x v="1"/>
    <x v="3"/>
    <x v="849"/>
    <s v="Kennedy"/>
    <x v="2"/>
    <x v="0"/>
    <x v="4"/>
    <n v="3"/>
    <n v="744"/>
    <n v="3258.02"/>
    <n v="39789"/>
    <x v="0"/>
    <x v="3"/>
    <s v="Transfer Orbit"/>
    <n v="46"/>
    <n v="142.63"/>
  </r>
  <r>
    <s v="SM-01066"/>
    <s v="Mission_1066"/>
    <x v="3"/>
    <x v="3"/>
    <x v="967"/>
    <s v="Sriharikota"/>
    <x v="1"/>
    <x v="2"/>
    <x v="2"/>
    <n v="0"/>
    <n v="1272"/>
    <n v="646.23"/>
    <n v="21106"/>
    <x v="2"/>
    <x v="2"/>
    <s v="Transfer Orbit"/>
    <n v="7"/>
    <n v="244.77"/>
  </r>
  <r>
    <s v="SM-01067"/>
    <s v="Mission_1067"/>
    <x v="3"/>
    <x v="0"/>
    <x v="968"/>
    <s v="Baikonur"/>
    <x v="4"/>
    <x v="1"/>
    <x v="4"/>
    <n v="6"/>
    <n v="653"/>
    <n v="1426.35"/>
    <n v="28003"/>
    <x v="1"/>
    <x v="3"/>
    <s v="Transfer Orbit"/>
    <n v="16"/>
    <n v="98.43"/>
  </r>
  <r>
    <s v="SM-01068"/>
    <s v="Mission_1068"/>
    <x v="3"/>
    <x v="5"/>
    <x v="969"/>
    <s v="Jiuquan"/>
    <x v="4"/>
    <x v="3"/>
    <x v="0"/>
    <n v="4"/>
    <n v="183"/>
    <n v="2457.5700000000002"/>
    <n v="31643"/>
    <x v="2"/>
    <x v="3"/>
    <s v="GEO"/>
    <n v="3"/>
    <n v="34.770000000000003"/>
  </r>
  <r>
    <s v="SM-01069"/>
    <s v="Mission_1069"/>
    <x v="2"/>
    <x v="1"/>
    <x v="294"/>
    <s v="Tanegashima"/>
    <x v="3"/>
    <x v="4"/>
    <x v="1"/>
    <n v="5"/>
    <n v="985"/>
    <n v="1905.82"/>
    <n v="45960"/>
    <x v="0"/>
    <x v="1"/>
    <s v="MEO"/>
    <n v="2"/>
    <n v="124.55"/>
  </r>
  <r>
    <s v="SM-01070"/>
    <s v="Mission_1070"/>
    <x v="6"/>
    <x v="5"/>
    <x v="697"/>
    <s v="Kennedy"/>
    <x v="0"/>
    <x v="0"/>
    <x v="5"/>
    <n v="1"/>
    <n v="473"/>
    <n v="688.01"/>
    <n v="4746"/>
    <x v="1"/>
    <x v="3"/>
    <s v="MEO"/>
    <n v="4"/>
    <n v="162.46"/>
  </r>
  <r>
    <s v="SM-01071"/>
    <s v="Mission_1071"/>
    <x v="4"/>
    <x v="2"/>
    <x v="824"/>
    <s v="Kourou"/>
    <x v="5"/>
    <x v="2"/>
    <x v="1"/>
    <n v="2"/>
    <n v="434"/>
    <n v="3493.82"/>
    <n v="38314"/>
    <x v="0"/>
    <x v="2"/>
    <s v="LEO"/>
    <n v="39"/>
    <n v="188.08"/>
  </r>
  <r>
    <s v="SM-01072"/>
    <s v="Mission_1072"/>
    <x v="0"/>
    <x v="2"/>
    <x v="970"/>
    <s v="Sriharikota"/>
    <x v="1"/>
    <x v="5"/>
    <x v="5"/>
    <n v="4"/>
    <n v="70"/>
    <n v="119.09"/>
    <n v="47903"/>
    <x v="0"/>
    <x v="1"/>
    <s v="MEO"/>
    <n v="46"/>
    <n v="39.21"/>
  </r>
  <r>
    <s v="SM-01073"/>
    <s v="Mission_1073"/>
    <x v="6"/>
    <x v="3"/>
    <x v="971"/>
    <s v="Tanegashima"/>
    <x v="4"/>
    <x v="2"/>
    <x v="1"/>
    <n v="8"/>
    <n v="953"/>
    <n v="2899.44"/>
    <n v="21757"/>
    <x v="1"/>
    <x v="3"/>
    <s v="MEO"/>
    <n v="9"/>
    <n v="8.4600000000000009"/>
  </r>
  <r>
    <s v="SM-01074"/>
    <s v="Mission_1074"/>
    <x v="3"/>
    <x v="1"/>
    <x v="972"/>
    <s v="Kennedy"/>
    <x v="4"/>
    <x v="2"/>
    <x v="1"/>
    <n v="1"/>
    <n v="80"/>
    <n v="4494.22"/>
    <n v="3461"/>
    <x v="2"/>
    <x v="2"/>
    <s v="MEO"/>
    <n v="29"/>
    <n v="38.14"/>
  </r>
  <r>
    <s v="SM-01075"/>
    <s v="Mission_1075"/>
    <x v="0"/>
    <x v="5"/>
    <x v="973"/>
    <s v="Kourou"/>
    <x v="3"/>
    <x v="4"/>
    <x v="5"/>
    <n v="7"/>
    <n v="556"/>
    <n v="4909.32"/>
    <n v="34532"/>
    <x v="1"/>
    <x v="0"/>
    <s v="LEO"/>
    <n v="42"/>
    <n v="134.74"/>
  </r>
  <r>
    <s v="SM-01076"/>
    <s v="Mission_1076"/>
    <x v="5"/>
    <x v="3"/>
    <x v="974"/>
    <s v="Kennedy"/>
    <x v="0"/>
    <x v="0"/>
    <x v="1"/>
    <n v="4"/>
    <n v="1274"/>
    <n v="2798.45"/>
    <n v="39321"/>
    <x v="1"/>
    <x v="3"/>
    <s v="Polar"/>
    <n v="41"/>
    <n v="44.47"/>
  </r>
  <r>
    <s v="SM-01077"/>
    <s v="Mission_1077"/>
    <x v="1"/>
    <x v="1"/>
    <x v="975"/>
    <s v="Baikonur"/>
    <x v="3"/>
    <x v="5"/>
    <x v="2"/>
    <n v="2"/>
    <n v="1225"/>
    <n v="1629.7"/>
    <n v="37718"/>
    <x v="0"/>
    <x v="1"/>
    <s v="LEO"/>
    <n v="15"/>
    <n v="182.8"/>
  </r>
  <r>
    <s v="SM-01078"/>
    <s v="Mission_1078"/>
    <x v="5"/>
    <x v="0"/>
    <x v="976"/>
    <s v="Tanegashima"/>
    <x v="2"/>
    <x v="1"/>
    <x v="1"/>
    <n v="7"/>
    <n v="1320"/>
    <n v="1903.01"/>
    <n v="30564"/>
    <x v="0"/>
    <x v="0"/>
    <s v="Transfer Orbit"/>
    <n v="50"/>
    <n v="19.13"/>
  </r>
  <r>
    <s v="SM-01079"/>
    <s v="Mission_1079"/>
    <x v="2"/>
    <x v="5"/>
    <x v="672"/>
    <s v="Tanegashima"/>
    <x v="4"/>
    <x v="1"/>
    <x v="1"/>
    <n v="4"/>
    <n v="564"/>
    <n v="2124.6"/>
    <n v="33983"/>
    <x v="1"/>
    <x v="2"/>
    <s v="Transfer Orbit"/>
    <n v="26"/>
    <n v="236.06"/>
  </r>
  <r>
    <s v="SM-01080"/>
    <s v="Mission_1080"/>
    <x v="5"/>
    <x v="5"/>
    <x v="370"/>
    <s v="Tanegashima"/>
    <x v="1"/>
    <x v="2"/>
    <x v="1"/>
    <n v="1"/>
    <n v="149"/>
    <n v="2674.94"/>
    <n v="33274"/>
    <x v="2"/>
    <x v="3"/>
    <s v="MEO"/>
    <n v="36"/>
    <n v="99.59"/>
  </r>
  <r>
    <s v="SM-01081"/>
    <s v="Mission_1081"/>
    <x v="0"/>
    <x v="1"/>
    <x v="977"/>
    <s v="Sriharikota"/>
    <x v="2"/>
    <x v="1"/>
    <x v="4"/>
    <n v="2"/>
    <n v="318"/>
    <n v="1926.77"/>
    <n v="47187"/>
    <x v="0"/>
    <x v="3"/>
    <s v="Transfer Orbit"/>
    <n v="24"/>
    <n v="219.05"/>
  </r>
  <r>
    <s v="SM-01082"/>
    <s v="Mission_1082"/>
    <x v="6"/>
    <x v="1"/>
    <x v="978"/>
    <s v="Kourou"/>
    <x v="5"/>
    <x v="1"/>
    <x v="5"/>
    <n v="1"/>
    <n v="647"/>
    <n v="2645.73"/>
    <n v="32106"/>
    <x v="2"/>
    <x v="3"/>
    <s v="Transfer Orbit"/>
    <n v="5"/>
    <n v="90.41"/>
  </r>
  <r>
    <s v="SM-01083"/>
    <s v="Mission_1083"/>
    <x v="5"/>
    <x v="2"/>
    <x v="979"/>
    <s v="Kourou"/>
    <x v="0"/>
    <x v="1"/>
    <x v="0"/>
    <n v="7"/>
    <n v="784"/>
    <n v="3173.69"/>
    <n v="12203"/>
    <x v="0"/>
    <x v="3"/>
    <s v="Polar"/>
    <n v="14"/>
    <n v="204.77"/>
  </r>
  <r>
    <s v="SM-01084"/>
    <s v="Mission_1084"/>
    <x v="3"/>
    <x v="0"/>
    <x v="980"/>
    <s v="Baikonur"/>
    <x v="3"/>
    <x v="0"/>
    <x v="4"/>
    <n v="5"/>
    <n v="862"/>
    <n v="228.53"/>
    <n v="40531"/>
    <x v="1"/>
    <x v="1"/>
    <s v="Polar"/>
    <n v="28"/>
    <n v="60.31"/>
  </r>
  <r>
    <s v="SM-01085"/>
    <s v="Mission_1085"/>
    <x v="4"/>
    <x v="3"/>
    <x v="981"/>
    <s v="Kennedy"/>
    <x v="5"/>
    <x v="1"/>
    <x v="3"/>
    <n v="4"/>
    <n v="1183"/>
    <n v="406.61"/>
    <n v="18754"/>
    <x v="0"/>
    <x v="1"/>
    <s v="Transfer Orbit"/>
    <n v="24"/>
    <n v="147.31"/>
  </r>
  <r>
    <s v="SM-01086"/>
    <s v="Mission_1086"/>
    <x v="5"/>
    <x v="0"/>
    <x v="982"/>
    <s v="Kennedy"/>
    <x v="1"/>
    <x v="1"/>
    <x v="3"/>
    <n v="5"/>
    <n v="684"/>
    <n v="57.35"/>
    <n v="35316"/>
    <x v="1"/>
    <x v="2"/>
    <s v="GEO"/>
    <n v="42"/>
    <n v="23.7"/>
  </r>
  <r>
    <s v="SM-01087"/>
    <s v="Mission_1087"/>
    <x v="6"/>
    <x v="0"/>
    <x v="796"/>
    <s v="Sriharikota"/>
    <x v="1"/>
    <x v="3"/>
    <x v="0"/>
    <n v="6"/>
    <n v="446"/>
    <n v="194.52"/>
    <n v="10119"/>
    <x v="1"/>
    <x v="3"/>
    <s v="MEO"/>
    <n v="7"/>
    <n v="95.5"/>
  </r>
  <r>
    <s v="SM-01088"/>
    <s v="Mission_1088"/>
    <x v="1"/>
    <x v="5"/>
    <x v="983"/>
    <s v="Kennedy"/>
    <x v="2"/>
    <x v="1"/>
    <x v="0"/>
    <n v="2"/>
    <n v="1091"/>
    <n v="3460.29"/>
    <n v="20251"/>
    <x v="2"/>
    <x v="0"/>
    <s v="LEO"/>
    <n v="2"/>
    <n v="138.65"/>
  </r>
  <r>
    <s v="SM-01089"/>
    <s v="Mission_1089"/>
    <x v="3"/>
    <x v="4"/>
    <x v="984"/>
    <s v="Baikonur"/>
    <x v="5"/>
    <x v="2"/>
    <x v="0"/>
    <n v="8"/>
    <n v="303"/>
    <n v="4139.1499999999996"/>
    <n v="29247"/>
    <x v="0"/>
    <x v="0"/>
    <s v="GEO"/>
    <n v="31"/>
    <n v="112.64"/>
  </r>
  <r>
    <s v="SM-01090"/>
    <s v="Mission_1090"/>
    <x v="0"/>
    <x v="3"/>
    <x v="985"/>
    <s v="Sriharikota"/>
    <x v="3"/>
    <x v="4"/>
    <x v="0"/>
    <n v="8"/>
    <n v="923"/>
    <n v="3100.99"/>
    <n v="42753"/>
    <x v="1"/>
    <x v="1"/>
    <s v="MEO"/>
    <n v="42"/>
    <n v="241.73"/>
  </r>
  <r>
    <s v="SM-01091"/>
    <s v="Mission_1091"/>
    <x v="0"/>
    <x v="3"/>
    <x v="986"/>
    <s v="Sriharikota"/>
    <x v="0"/>
    <x v="3"/>
    <x v="4"/>
    <n v="6"/>
    <n v="982"/>
    <n v="858.93"/>
    <n v="40624"/>
    <x v="2"/>
    <x v="0"/>
    <s v="Sun-Synchronous"/>
    <n v="47"/>
    <n v="98.35"/>
  </r>
  <r>
    <s v="SM-01092"/>
    <s v="Mission_1092"/>
    <x v="2"/>
    <x v="0"/>
    <x v="987"/>
    <s v="Baikonur"/>
    <x v="1"/>
    <x v="0"/>
    <x v="0"/>
    <n v="4"/>
    <n v="1048"/>
    <n v="4405.6000000000004"/>
    <n v="42648"/>
    <x v="0"/>
    <x v="3"/>
    <s v="Transfer Orbit"/>
    <n v="3"/>
    <n v="37.11"/>
  </r>
  <r>
    <s v="SM-01093"/>
    <s v="Mission_1093"/>
    <x v="3"/>
    <x v="3"/>
    <x v="988"/>
    <s v="Baikonur"/>
    <x v="1"/>
    <x v="4"/>
    <x v="1"/>
    <n v="0"/>
    <n v="659"/>
    <n v="4511.51"/>
    <n v="39447"/>
    <x v="2"/>
    <x v="1"/>
    <s v="LEO"/>
    <n v="2"/>
    <n v="134.01"/>
  </r>
  <r>
    <s v="SM-01094"/>
    <s v="Mission_1094"/>
    <x v="2"/>
    <x v="5"/>
    <x v="989"/>
    <s v="Tanegashima"/>
    <x v="0"/>
    <x v="3"/>
    <x v="5"/>
    <n v="0"/>
    <n v="234"/>
    <n v="4153.8100000000004"/>
    <n v="27354"/>
    <x v="2"/>
    <x v="3"/>
    <s v="LEO"/>
    <n v="13"/>
    <n v="199.53"/>
  </r>
  <r>
    <s v="SM-01095"/>
    <s v="Mission_1095"/>
    <x v="6"/>
    <x v="3"/>
    <x v="349"/>
    <s v="Baikonur"/>
    <x v="0"/>
    <x v="3"/>
    <x v="3"/>
    <n v="5"/>
    <n v="395"/>
    <n v="4097.95"/>
    <n v="20931"/>
    <x v="1"/>
    <x v="3"/>
    <s v="Transfer Orbit"/>
    <n v="21"/>
    <n v="92.66"/>
  </r>
  <r>
    <s v="SM-01096"/>
    <s v="Mission_1096"/>
    <x v="4"/>
    <x v="1"/>
    <x v="990"/>
    <s v="Sriharikota"/>
    <x v="2"/>
    <x v="0"/>
    <x v="3"/>
    <n v="3"/>
    <n v="3"/>
    <n v="2164.02"/>
    <n v="43349"/>
    <x v="1"/>
    <x v="0"/>
    <s v="MEO"/>
    <n v="21"/>
    <n v="218.74"/>
  </r>
  <r>
    <s v="SM-01097"/>
    <s v="Mission_1097"/>
    <x v="2"/>
    <x v="5"/>
    <x v="991"/>
    <s v="Sriharikota"/>
    <x v="5"/>
    <x v="2"/>
    <x v="2"/>
    <n v="2"/>
    <n v="74"/>
    <n v="1777.17"/>
    <n v="40088"/>
    <x v="2"/>
    <x v="1"/>
    <s v="LEO"/>
    <n v="10"/>
    <n v="137.76"/>
  </r>
  <r>
    <s v="SM-01098"/>
    <s v="Mission_1098"/>
    <x v="4"/>
    <x v="0"/>
    <x v="992"/>
    <s v="Kourou"/>
    <x v="1"/>
    <x v="0"/>
    <x v="0"/>
    <n v="5"/>
    <n v="1304"/>
    <n v="3235.98"/>
    <n v="15978"/>
    <x v="0"/>
    <x v="1"/>
    <s v="GEO"/>
    <n v="37"/>
    <n v="48.18"/>
  </r>
  <r>
    <s v="SM-01099"/>
    <s v="Mission_1099"/>
    <x v="6"/>
    <x v="0"/>
    <x v="993"/>
    <s v="Sriharikota"/>
    <x v="1"/>
    <x v="3"/>
    <x v="0"/>
    <n v="5"/>
    <n v="1152"/>
    <n v="1678.04"/>
    <n v="3602"/>
    <x v="1"/>
    <x v="0"/>
    <s v="MEO"/>
    <n v="49"/>
    <n v="13.66"/>
  </r>
  <r>
    <s v="SM-01100"/>
    <s v="Mission_1100"/>
    <x v="1"/>
    <x v="3"/>
    <x v="488"/>
    <s v="Kennedy"/>
    <x v="0"/>
    <x v="2"/>
    <x v="3"/>
    <n v="7"/>
    <n v="422"/>
    <n v="955.89"/>
    <n v="37415"/>
    <x v="0"/>
    <x v="2"/>
    <s v="Transfer Orbit"/>
    <n v="32"/>
    <n v="151.19999999999999"/>
  </r>
  <r>
    <s v="SM-01101"/>
    <s v="Mission_1101"/>
    <x v="3"/>
    <x v="5"/>
    <x v="994"/>
    <s v="Baikonur"/>
    <x v="5"/>
    <x v="0"/>
    <x v="5"/>
    <n v="3"/>
    <n v="439"/>
    <n v="1202.95"/>
    <n v="42824"/>
    <x v="2"/>
    <x v="2"/>
    <s v="LEO"/>
    <n v="34"/>
    <n v="77.8"/>
  </r>
  <r>
    <s v="SM-01102"/>
    <s v="Mission_1102"/>
    <x v="4"/>
    <x v="0"/>
    <x v="995"/>
    <s v="Jiuquan"/>
    <x v="3"/>
    <x v="5"/>
    <x v="2"/>
    <n v="5"/>
    <n v="818"/>
    <n v="406.78"/>
    <n v="32330"/>
    <x v="0"/>
    <x v="3"/>
    <s v="Transfer Orbit"/>
    <n v="43"/>
    <n v="102.03"/>
  </r>
  <r>
    <s v="SM-01103"/>
    <s v="Mission_1103"/>
    <x v="6"/>
    <x v="4"/>
    <x v="996"/>
    <s v="Tanegashima"/>
    <x v="0"/>
    <x v="3"/>
    <x v="5"/>
    <n v="0"/>
    <n v="1056"/>
    <n v="1845.21"/>
    <n v="49010"/>
    <x v="2"/>
    <x v="2"/>
    <s v="Polar"/>
    <n v="43"/>
    <n v="140.52000000000001"/>
  </r>
  <r>
    <s v="SM-01104"/>
    <s v="Mission_1104"/>
    <x v="4"/>
    <x v="2"/>
    <x v="670"/>
    <s v="Sriharikota"/>
    <x v="4"/>
    <x v="3"/>
    <x v="1"/>
    <n v="1"/>
    <n v="743"/>
    <n v="4430.26"/>
    <n v="18909"/>
    <x v="1"/>
    <x v="2"/>
    <s v="GEO"/>
    <n v="27"/>
    <n v="231.11"/>
  </r>
  <r>
    <s v="SM-01105"/>
    <s v="Mission_1105"/>
    <x v="4"/>
    <x v="3"/>
    <x v="997"/>
    <s v="Sriharikota"/>
    <x v="1"/>
    <x v="2"/>
    <x v="2"/>
    <n v="6"/>
    <n v="1488"/>
    <n v="1490.53"/>
    <n v="3231"/>
    <x v="0"/>
    <x v="1"/>
    <s v="Sun-Synchronous"/>
    <n v="21"/>
    <n v="131.52000000000001"/>
  </r>
  <r>
    <s v="SM-01106"/>
    <s v="Mission_1106"/>
    <x v="3"/>
    <x v="2"/>
    <x v="998"/>
    <s v="Sriharikota"/>
    <x v="5"/>
    <x v="1"/>
    <x v="3"/>
    <n v="2"/>
    <n v="87"/>
    <n v="3473.81"/>
    <n v="21491"/>
    <x v="0"/>
    <x v="0"/>
    <s v="LEO"/>
    <n v="26"/>
    <n v="192.07"/>
  </r>
  <r>
    <s v="SM-01107"/>
    <s v="Mission_1107"/>
    <x v="3"/>
    <x v="0"/>
    <x v="999"/>
    <s v="Tanegashima"/>
    <x v="2"/>
    <x v="0"/>
    <x v="0"/>
    <n v="3"/>
    <n v="127"/>
    <n v="81.72"/>
    <n v="17580"/>
    <x v="2"/>
    <x v="0"/>
    <s v="Transfer Orbit"/>
    <n v="11"/>
    <n v="150.85"/>
  </r>
  <r>
    <s v="SM-01108"/>
    <s v="Mission_1108"/>
    <x v="4"/>
    <x v="5"/>
    <x v="325"/>
    <s v="Kennedy"/>
    <x v="5"/>
    <x v="1"/>
    <x v="1"/>
    <n v="3"/>
    <n v="332"/>
    <n v="3192.38"/>
    <n v="16878"/>
    <x v="2"/>
    <x v="1"/>
    <s v="Polar"/>
    <n v="49"/>
    <n v="225.43"/>
  </r>
  <r>
    <s v="SM-01109"/>
    <s v="Mission_1109"/>
    <x v="5"/>
    <x v="3"/>
    <x v="1000"/>
    <s v="Baikonur"/>
    <x v="1"/>
    <x v="4"/>
    <x v="2"/>
    <n v="0"/>
    <n v="1007"/>
    <n v="1627.91"/>
    <n v="33882"/>
    <x v="2"/>
    <x v="0"/>
    <s v="GEO"/>
    <n v="40"/>
    <n v="50.38"/>
  </r>
  <r>
    <s v="SM-01110"/>
    <s v="Mission_1110"/>
    <x v="4"/>
    <x v="4"/>
    <x v="1001"/>
    <s v="Sriharikota"/>
    <x v="4"/>
    <x v="4"/>
    <x v="0"/>
    <n v="7"/>
    <n v="733"/>
    <n v="4333.97"/>
    <n v="15157"/>
    <x v="0"/>
    <x v="3"/>
    <s v="MEO"/>
    <n v="13"/>
    <n v="177.28"/>
  </r>
  <r>
    <s v="SM-01111"/>
    <s v="Mission_1111"/>
    <x v="6"/>
    <x v="4"/>
    <x v="1002"/>
    <s v="Kourou"/>
    <x v="3"/>
    <x v="0"/>
    <x v="4"/>
    <n v="3"/>
    <n v="608"/>
    <n v="2710.95"/>
    <n v="30417"/>
    <x v="0"/>
    <x v="3"/>
    <s v="GEO"/>
    <n v="23"/>
    <n v="165.15"/>
  </r>
  <r>
    <s v="SM-01112"/>
    <s v="Mission_1112"/>
    <x v="6"/>
    <x v="4"/>
    <x v="1003"/>
    <s v="Kourou"/>
    <x v="0"/>
    <x v="3"/>
    <x v="1"/>
    <n v="2"/>
    <n v="1297"/>
    <n v="753.07"/>
    <n v="29981"/>
    <x v="1"/>
    <x v="0"/>
    <s v="LEO"/>
    <n v="29"/>
    <n v="207.44"/>
  </r>
  <r>
    <s v="SM-01113"/>
    <s v="Mission_1113"/>
    <x v="4"/>
    <x v="1"/>
    <x v="1004"/>
    <s v="Kennedy"/>
    <x v="4"/>
    <x v="1"/>
    <x v="2"/>
    <n v="3"/>
    <n v="464"/>
    <n v="3518.22"/>
    <n v="32736"/>
    <x v="1"/>
    <x v="2"/>
    <s v="LEO"/>
    <n v="7"/>
    <n v="84.9"/>
  </r>
  <r>
    <s v="SM-01114"/>
    <s v="Mission_1114"/>
    <x v="6"/>
    <x v="2"/>
    <x v="1005"/>
    <s v="Kourou"/>
    <x v="5"/>
    <x v="3"/>
    <x v="2"/>
    <n v="0"/>
    <n v="1067"/>
    <n v="749.77"/>
    <n v="4280"/>
    <x v="2"/>
    <x v="2"/>
    <s v="LEO"/>
    <n v="6"/>
    <n v="160.12"/>
  </r>
  <r>
    <s v="SM-01115"/>
    <s v="Mission_1115"/>
    <x v="1"/>
    <x v="5"/>
    <x v="1006"/>
    <s v="Kourou"/>
    <x v="2"/>
    <x v="0"/>
    <x v="2"/>
    <n v="3"/>
    <n v="596"/>
    <n v="3559.14"/>
    <n v="35039"/>
    <x v="1"/>
    <x v="3"/>
    <s v="Polar"/>
    <n v="19"/>
    <n v="176.89"/>
  </r>
  <r>
    <s v="SM-01116"/>
    <s v="Mission_1116"/>
    <x v="6"/>
    <x v="2"/>
    <x v="1007"/>
    <s v="Baikonur"/>
    <x v="5"/>
    <x v="5"/>
    <x v="5"/>
    <n v="5"/>
    <n v="114"/>
    <n v="3907.08"/>
    <n v="6537"/>
    <x v="0"/>
    <x v="2"/>
    <s v="Transfer Orbit"/>
    <n v="35"/>
    <n v="13.24"/>
  </r>
  <r>
    <s v="SM-01117"/>
    <s v="Mission_1117"/>
    <x v="2"/>
    <x v="4"/>
    <x v="1008"/>
    <s v="Kennedy"/>
    <x v="2"/>
    <x v="2"/>
    <x v="0"/>
    <n v="8"/>
    <n v="145"/>
    <n v="3542.96"/>
    <n v="44753"/>
    <x v="1"/>
    <x v="1"/>
    <s v="LEO"/>
    <n v="13"/>
    <n v="176.2"/>
  </r>
  <r>
    <s v="SM-01118"/>
    <s v="Mission_1118"/>
    <x v="2"/>
    <x v="1"/>
    <x v="1009"/>
    <s v="Kourou"/>
    <x v="3"/>
    <x v="2"/>
    <x v="3"/>
    <n v="2"/>
    <n v="489"/>
    <n v="2308.5"/>
    <n v="34717"/>
    <x v="1"/>
    <x v="0"/>
    <s v="LEO"/>
    <n v="38"/>
    <n v="177.43"/>
  </r>
  <r>
    <s v="SM-01119"/>
    <s v="Mission_1119"/>
    <x v="3"/>
    <x v="0"/>
    <x v="1010"/>
    <s v="Sriharikota"/>
    <x v="0"/>
    <x v="1"/>
    <x v="5"/>
    <n v="5"/>
    <n v="544"/>
    <n v="499.78"/>
    <n v="4200"/>
    <x v="1"/>
    <x v="0"/>
    <s v="LEO"/>
    <n v="16"/>
    <n v="132.57"/>
  </r>
  <r>
    <s v="SM-01120"/>
    <s v="Mission_1120"/>
    <x v="3"/>
    <x v="3"/>
    <x v="1011"/>
    <s v="Jiuquan"/>
    <x v="2"/>
    <x v="1"/>
    <x v="2"/>
    <n v="3"/>
    <n v="1366"/>
    <n v="2157.9"/>
    <n v="6488"/>
    <x v="0"/>
    <x v="0"/>
    <s v="GEO"/>
    <n v="26"/>
    <n v="216.55"/>
  </r>
  <r>
    <s v="SM-01121"/>
    <s v="Mission_1121"/>
    <x v="0"/>
    <x v="3"/>
    <x v="1012"/>
    <s v="Tanegashima"/>
    <x v="5"/>
    <x v="3"/>
    <x v="4"/>
    <n v="6"/>
    <n v="66"/>
    <n v="2262.29"/>
    <n v="42986"/>
    <x v="0"/>
    <x v="3"/>
    <s v="GEO"/>
    <n v="13"/>
    <n v="25.11"/>
  </r>
  <r>
    <s v="SM-01122"/>
    <s v="Mission_1122"/>
    <x v="5"/>
    <x v="2"/>
    <x v="1013"/>
    <s v="Kennedy"/>
    <x v="2"/>
    <x v="4"/>
    <x v="5"/>
    <n v="6"/>
    <n v="719"/>
    <n v="3600.07"/>
    <n v="41699"/>
    <x v="0"/>
    <x v="0"/>
    <s v="LEO"/>
    <n v="34"/>
    <n v="208.6"/>
  </r>
  <r>
    <s v="SM-01123"/>
    <s v="Mission_1123"/>
    <x v="5"/>
    <x v="4"/>
    <x v="1014"/>
    <s v="Baikonur"/>
    <x v="1"/>
    <x v="0"/>
    <x v="4"/>
    <n v="6"/>
    <n v="1263"/>
    <n v="3666.24"/>
    <n v="493"/>
    <x v="1"/>
    <x v="0"/>
    <s v="GEO"/>
    <n v="8"/>
    <n v="124.29"/>
  </r>
  <r>
    <s v="SM-01124"/>
    <s v="Mission_1124"/>
    <x v="0"/>
    <x v="5"/>
    <x v="256"/>
    <s v="Jiuquan"/>
    <x v="2"/>
    <x v="1"/>
    <x v="5"/>
    <n v="8"/>
    <n v="1436"/>
    <n v="2797.21"/>
    <n v="11386"/>
    <x v="2"/>
    <x v="3"/>
    <s v="MEO"/>
    <n v="44"/>
    <n v="42.69"/>
  </r>
  <r>
    <s v="SM-01125"/>
    <s v="Mission_1125"/>
    <x v="0"/>
    <x v="3"/>
    <x v="1015"/>
    <s v="Kennedy"/>
    <x v="2"/>
    <x v="1"/>
    <x v="3"/>
    <n v="6"/>
    <n v="1348"/>
    <n v="2250.02"/>
    <n v="1462"/>
    <x v="2"/>
    <x v="3"/>
    <s v="Sun-Synchronous"/>
    <n v="32"/>
    <n v="16.010000000000002"/>
  </r>
  <r>
    <s v="SM-01126"/>
    <s v="Mission_1126"/>
    <x v="6"/>
    <x v="4"/>
    <x v="1016"/>
    <s v="Kennedy"/>
    <x v="5"/>
    <x v="2"/>
    <x v="1"/>
    <n v="5"/>
    <n v="980"/>
    <n v="2604.06"/>
    <n v="14081"/>
    <x v="1"/>
    <x v="1"/>
    <s v="GEO"/>
    <n v="27"/>
    <n v="193.42"/>
  </r>
  <r>
    <s v="SM-01127"/>
    <s v="Mission_1127"/>
    <x v="6"/>
    <x v="1"/>
    <x v="1017"/>
    <s v="Jiuquan"/>
    <x v="0"/>
    <x v="5"/>
    <x v="1"/>
    <n v="6"/>
    <n v="1139"/>
    <n v="1642.73"/>
    <n v="48136"/>
    <x v="1"/>
    <x v="0"/>
    <s v="Transfer Orbit"/>
    <n v="5"/>
    <n v="159.51"/>
  </r>
  <r>
    <s v="SM-01128"/>
    <s v="Mission_1128"/>
    <x v="2"/>
    <x v="4"/>
    <x v="1018"/>
    <s v="Baikonur"/>
    <x v="4"/>
    <x v="5"/>
    <x v="1"/>
    <n v="7"/>
    <n v="1022"/>
    <n v="2805.59"/>
    <n v="30886"/>
    <x v="1"/>
    <x v="2"/>
    <s v="MEO"/>
    <n v="18"/>
    <n v="117.41"/>
  </r>
  <r>
    <s v="SM-01129"/>
    <s v="Mission_1129"/>
    <x v="2"/>
    <x v="2"/>
    <x v="1019"/>
    <s v="Kennedy"/>
    <x v="4"/>
    <x v="3"/>
    <x v="1"/>
    <n v="5"/>
    <n v="143"/>
    <n v="2205.0700000000002"/>
    <n v="4148"/>
    <x v="0"/>
    <x v="3"/>
    <s v="Polar"/>
    <n v="25"/>
    <n v="39.97"/>
  </r>
  <r>
    <s v="SM-01130"/>
    <s v="Mission_1130"/>
    <x v="2"/>
    <x v="5"/>
    <x v="1020"/>
    <s v="Kourou"/>
    <x v="2"/>
    <x v="4"/>
    <x v="2"/>
    <n v="2"/>
    <n v="1250"/>
    <n v="3709.11"/>
    <n v="11843"/>
    <x v="1"/>
    <x v="0"/>
    <s v="Transfer Orbit"/>
    <n v="12"/>
    <n v="242.22"/>
  </r>
  <r>
    <s v="SM-01131"/>
    <s v="Mission_1131"/>
    <x v="5"/>
    <x v="2"/>
    <x v="214"/>
    <s v="Sriharikota"/>
    <x v="2"/>
    <x v="3"/>
    <x v="4"/>
    <n v="2"/>
    <n v="1476"/>
    <n v="1157.8800000000001"/>
    <n v="47764"/>
    <x v="2"/>
    <x v="2"/>
    <s v="Sun-Synchronous"/>
    <n v="36"/>
    <n v="212.18"/>
  </r>
  <r>
    <s v="SM-01132"/>
    <s v="Mission_1132"/>
    <x v="6"/>
    <x v="4"/>
    <x v="1021"/>
    <s v="Kennedy"/>
    <x v="3"/>
    <x v="2"/>
    <x v="0"/>
    <n v="3"/>
    <n v="1316"/>
    <n v="3371.71"/>
    <n v="17088"/>
    <x v="2"/>
    <x v="0"/>
    <s v="MEO"/>
    <n v="44"/>
    <n v="12.05"/>
  </r>
  <r>
    <s v="SM-01133"/>
    <s v="Mission_1133"/>
    <x v="3"/>
    <x v="0"/>
    <x v="1022"/>
    <s v="Kourou"/>
    <x v="4"/>
    <x v="3"/>
    <x v="4"/>
    <n v="0"/>
    <n v="454"/>
    <n v="4058.38"/>
    <n v="40228"/>
    <x v="2"/>
    <x v="2"/>
    <s v="GEO"/>
    <n v="4"/>
    <n v="223.13"/>
  </r>
  <r>
    <s v="SM-01134"/>
    <s v="Mission_1134"/>
    <x v="6"/>
    <x v="2"/>
    <x v="1023"/>
    <s v="Kennedy"/>
    <x v="2"/>
    <x v="5"/>
    <x v="2"/>
    <n v="8"/>
    <n v="770"/>
    <n v="2152.63"/>
    <n v="49519"/>
    <x v="1"/>
    <x v="3"/>
    <s v="GEO"/>
    <n v="33"/>
    <n v="104.1"/>
  </r>
  <r>
    <s v="SM-01135"/>
    <s v="Mission_1135"/>
    <x v="0"/>
    <x v="4"/>
    <x v="1024"/>
    <s v="Sriharikota"/>
    <x v="3"/>
    <x v="5"/>
    <x v="5"/>
    <n v="1"/>
    <n v="44"/>
    <n v="3841.87"/>
    <n v="32012"/>
    <x v="1"/>
    <x v="1"/>
    <s v="GEO"/>
    <n v="48"/>
    <n v="5.88"/>
  </r>
  <r>
    <s v="SM-01136"/>
    <s v="Mission_1136"/>
    <x v="1"/>
    <x v="3"/>
    <x v="1025"/>
    <s v="Baikonur"/>
    <x v="5"/>
    <x v="2"/>
    <x v="5"/>
    <n v="2"/>
    <n v="1268"/>
    <n v="518.46"/>
    <n v="12710"/>
    <x v="0"/>
    <x v="1"/>
    <s v="Transfer Orbit"/>
    <n v="33"/>
    <n v="212.9"/>
  </r>
  <r>
    <s v="SM-01137"/>
    <s v="Mission_1137"/>
    <x v="5"/>
    <x v="5"/>
    <x v="1026"/>
    <s v="Baikonur"/>
    <x v="5"/>
    <x v="5"/>
    <x v="2"/>
    <n v="7"/>
    <n v="1322"/>
    <n v="4444.47"/>
    <n v="18970"/>
    <x v="0"/>
    <x v="0"/>
    <s v="GEO"/>
    <n v="40"/>
    <n v="144.46"/>
  </r>
  <r>
    <s v="SM-01138"/>
    <s v="Mission_1138"/>
    <x v="5"/>
    <x v="4"/>
    <x v="1027"/>
    <s v="Baikonur"/>
    <x v="5"/>
    <x v="1"/>
    <x v="3"/>
    <n v="2"/>
    <n v="1271"/>
    <n v="963.97"/>
    <n v="22691"/>
    <x v="0"/>
    <x v="2"/>
    <s v="Polar"/>
    <n v="33"/>
    <n v="28.61"/>
  </r>
  <r>
    <s v="SM-01139"/>
    <s v="Mission_1139"/>
    <x v="0"/>
    <x v="4"/>
    <x v="1028"/>
    <s v="Baikonur"/>
    <x v="5"/>
    <x v="1"/>
    <x v="2"/>
    <n v="1"/>
    <n v="10"/>
    <n v="883.21"/>
    <n v="4111"/>
    <x v="2"/>
    <x v="3"/>
    <s v="Polar"/>
    <n v="2"/>
    <n v="150.82"/>
  </r>
  <r>
    <s v="SM-01140"/>
    <s v="Mission_1140"/>
    <x v="6"/>
    <x v="5"/>
    <x v="1029"/>
    <s v="Tanegashima"/>
    <x v="1"/>
    <x v="4"/>
    <x v="3"/>
    <n v="0"/>
    <n v="439"/>
    <n v="3617.3"/>
    <n v="5888"/>
    <x v="2"/>
    <x v="0"/>
    <s v="GEO"/>
    <n v="41"/>
    <n v="59.15"/>
  </r>
  <r>
    <s v="SM-01141"/>
    <s v="Mission_1141"/>
    <x v="5"/>
    <x v="0"/>
    <x v="1030"/>
    <s v="Jiuquan"/>
    <x v="5"/>
    <x v="5"/>
    <x v="2"/>
    <n v="3"/>
    <n v="619"/>
    <n v="3455.02"/>
    <n v="31721"/>
    <x v="0"/>
    <x v="0"/>
    <s v="MEO"/>
    <n v="30"/>
    <n v="82.95"/>
  </r>
  <r>
    <s v="SM-01142"/>
    <s v="Mission_1142"/>
    <x v="3"/>
    <x v="0"/>
    <x v="1031"/>
    <s v="Sriharikota"/>
    <x v="3"/>
    <x v="2"/>
    <x v="2"/>
    <n v="3"/>
    <n v="563"/>
    <n v="2902.75"/>
    <n v="38461"/>
    <x v="1"/>
    <x v="2"/>
    <s v="Sun-Synchronous"/>
    <n v="46"/>
    <n v="10.48"/>
  </r>
  <r>
    <s v="SM-01143"/>
    <s v="Mission_1143"/>
    <x v="5"/>
    <x v="2"/>
    <x v="1032"/>
    <s v="Kourou"/>
    <x v="2"/>
    <x v="1"/>
    <x v="1"/>
    <n v="6"/>
    <n v="429"/>
    <n v="3439.34"/>
    <n v="12026"/>
    <x v="0"/>
    <x v="2"/>
    <s v="Sun-Synchronous"/>
    <n v="38"/>
    <n v="209.86"/>
  </r>
  <r>
    <s v="SM-01144"/>
    <s v="Mission_1144"/>
    <x v="0"/>
    <x v="1"/>
    <x v="1033"/>
    <s v="Jiuquan"/>
    <x v="2"/>
    <x v="5"/>
    <x v="5"/>
    <n v="5"/>
    <n v="1108"/>
    <n v="3375.19"/>
    <n v="34238"/>
    <x v="0"/>
    <x v="1"/>
    <s v="GEO"/>
    <n v="16"/>
    <n v="118.91"/>
  </r>
  <r>
    <s v="SM-01145"/>
    <s v="Mission_1145"/>
    <x v="1"/>
    <x v="2"/>
    <x v="1034"/>
    <s v="Sriharikota"/>
    <x v="0"/>
    <x v="5"/>
    <x v="4"/>
    <n v="4"/>
    <n v="432"/>
    <n v="807.67"/>
    <n v="46905"/>
    <x v="1"/>
    <x v="1"/>
    <s v="MEO"/>
    <n v="44"/>
    <n v="159.69999999999999"/>
  </r>
  <r>
    <s v="SM-01146"/>
    <s v="Mission_1146"/>
    <x v="2"/>
    <x v="0"/>
    <x v="1035"/>
    <s v="Kourou"/>
    <x v="1"/>
    <x v="0"/>
    <x v="3"/>
    <n v="8"/>
    <n v="132"/>
    <n v="4404.96"/>
    <n v="16126"/>
    <x v="2"/>
    <x v="0"/>
    <s v="GEO"/>
    <n v="31"/>
    <n v="18.03"/>
  </r>
  <r>
    <s v="SM-01147"/>
    <s v="Mission_1147"/>
    <x v="5"/>
    <x v="3"/>
    <x v="1036"/>
    <s v="Sriharikota"/>
    <x v="1"/>
    <x v="1"/>
    <x v="0"/>
    <n v="3"/>
    <n v="818"/>
    <n v="872.99"/>
    <n v="1864"/>
    <x v="0"/>
    <x v="1"/>
    <s v="Transfer Orbit"/>
    <n v="45"/>
    <n v="156.33000000000001"/>
  </r>
  <r>
    <s v="SM-01148"/>
    <s v="Mission_1148"/>
    <x v="6"/>
    <x v="5"/>
    <x v="1037"/>
    <s v="Jiuquan"/>
    <x v="3"/>
    <x v="4"/>
    <x v="2"/>
    <n v="1"/>
    <n v="799"/>
    <n v="4402.51"/>
    <n v="45276"/>
    <x v="2"/>
    <x v="3"/>
    <s v="Polar"/>
    <n v="11"/>
    <n v="112.16"/>
  </r>
  <r>
    <s v="SM-01149"/>
    <s v="Mission_1149"/>
    <x v="6"/>
    <x v="2"/>
    <x v="1038"/>
    <s v="Kourou"/>
    <x v="0"/>
    <x v="0"/>
    <x v="2"/>
    <n v="5"/>
    <n v="1225"/>
    <n v="2874.38"/>
    <n v="36437"/>
    <x v="2"/>
    <x v="3"/>
    <s v="Sun-Synchronous"/>
    <n v="29"/>
    <n v="86.52"/>
  </r>
  <r>
    <s v="SM-01150"/>
    <s v="Mission_1150"/>
    <x v="2"/>
    <x v="2"/>
    <x v="1039"/>
    <s v="Baikonur"/>
    <x v="3"/>
    <x v="0"/>
    <x v="5"/>
    <n v="2"/>
    <n v="206"/>
    <n v="2902.24"/>
    <n v="4235"/>
    <x v="2"/>
    <x v="3"/>
    <s v="Sun-Synchronous"/>
    <n v="10"/>
    <n v="198.57"/>
  </r>
  <r>
    <s v="SM-01151"/>
    <s v="Mission_1151"/>
    <x v="6"/>
    <x v="1"/>
    <x v="1040"/>
    <s v="Tanegashima"/>
    <x v="0"/>
    <x v="0"/>
    <x v="5"/>
    <n v="7"/>
    <n v="500"/>
    <n v="573.52"/>
    <n v="7711"/>
    <x v="0"/>
    <x v="2"/>
    <s v="Transfer Orbit"/>
    <n v="11"/>
    <n v="59.09"/>
  </r>
  <r>
    <s v="SM-01152"/>
    <s v="Mission_1152"/>
    <x v="4"/>
    <x v="3"/>
    <x v="1041"/>
    <s v="Kourou"/>
    <x v="5"/>
    <x v="4"/>
    <x v="3"/>
    <n v="0"/>
    <n v="691"/>
    <n v="3708.68"/>
    <n v="47603"/>
    <x v="2"/>
    <x v="0"/>
    <s v="Polar"/>
    <n v="29"/>
    <n v="172.94"/>
  </r>
  <r>
    <s v="SM-01153"/>
    <s v="Mission_1153"/>
    <x v="0"/>
    <x v="5"/>
    <x v="1042"/>
    <s v="Baikonur"/>
    <x v="3"/>
    <x v="0"/>
    <x v="2"/>
    <n v="4"/>
    <n v="448"/>
    <n v="4042.44"/>
    <n v="13967"/>
    <x v="1"/>
    <x v="3"/>
    <s v="LEO"/>
    <n v="19"/>
    <n v="40.76"/>
  </r>
  <r>
    <s v="SM-01154"/>
    <s v="Mission_1154"/>
    <x v="4"/>
    <x v="2"/>
    <x v="1043"/>
    <s v="Sriharikota"/>
    <x v="0"/>
    <x v="2"/>
    <x v="1"/>
    <n v="4"/>
    <n v="1480"/>
    <n v="4028.78"/>
    <n v="21475"/>
    <x v="0"/>
    <x v="0"/>
    <s v="MEO"/>
    <n v="4"/>
    <n v="91.51"/>
  </r>
  <r>
    <s v="SM-01155"/>
    <s v="Mission_1155"/>
    <x v="5"/>
    <x v="1"/>
    <x v="1044"/>
    <s v="Baikonur"/>
    <x v="2"/>
    <x v="0"/>
    <x v="0"/>
    <n v="2"/>
    <n v="411"/>
    <n v="1520.06"/>
    <n v="15150"/>
    <x v="1"/>
    <x v="2"/>
    <s v="Transfer Orbit"/>
    <n v="8"/>
    <n v="192.3"/>
  </r>
  <r>
    <s v="SM-01156"/>
    <s v="Mission_1156"/>
    <x v="1"/>
    <x v="4"/>
    <x v="1045"/>
    <s v="Kennedy"/>
    <x v="0"/>
    <x v="3"/>
    <x v="0"/>
    <n v="7"/>
    <n v="642"/>
    <n v="3858.16"/>
    <n v="36552"/>
    <x v="1"/>
    <x v="0"/>
    <s v="MEO"/>
    <n v="50"/>
    <n v="137.9"/>
  </r>
  <r>
    <s v="SM-01157"/>
    <s v="Mission_1157"/>
    <x v="4"/>
    <x v="2"/>
    <x v="1046"/>
    <s v="Sriharikota"/>
    <x v="0"/>
    <x v="1"/>
    <x v="1"/>
    <n v="6"/>
    <n v="650"/>
    <n v="4366.82"/>
    <n v="8863"/>
    <x v="0"/>
    <x v="1"/>
    <s v="GEO"/>
    <n v="45"/>
    <n v="167.45"/>
  </r>
  <r>
    <s v="SM-01158"/>
    <s v="Mission_1158"/>
    <x v="4"/>
    <x v="0"/>
    <x v="1047"/>
    <s v="Kourou"/>
    <x v="2"/>
    <x v="5"/>
    <x v="5"/>
    <n v="7"/>
    <n v="1342"/>
    <n v="3022.22"/>
    <n v="17599"/>
    <x v="1"/>
    <x v="2"/>
    <s v="GEO"/>
    <n v="9"/>
    <n v="221.45"/>
  </r>
  <r>
    <s v="SM-01159"/>
    <s v="Mission_1159"/>
    <x v="0"/>
    <x v="2"/>
    <x v="1048"/>
    <s v="Tanegashima"/>
    <x v="3"/>
    <x v="2"/>
    <x v="2"/>
    <n v="3"/>
    <n v="620"/>
    <n v="2356.02"/>
    <n v="22582"/>
    <x v="2"/>
    <x v="0"/>
    <s v="Sun-Synchronous"/>
    <n v="30"/>
    <n v="200.54"/>
  </r>
  <r>
    <s v="SM-01160"/>
    <s v="Mission_1160"/>
    <x v="6"/>
    <x v="2"/>
    <x v="396"/>
    <s v="Sriharikota"/>
    <x v="4"/>
    <x v="0"/>
    <x v="5"/>
    <n v="7"/>
    <n v="34"/>
    <n v="1318.41"/>
    <n v="24030"/>
    <x v="2"/>
    <x v="3"/>
    <s v="Polar"/>
    <n v="22"/>
    <n v="0.86"/>
  </r>
  <r>
    <s v="SM-01161"/>
    <s v="Mission_1161"/>
    <x v="6"/>
    <x v="5"/>
    <x v="1049"/>
    <s v="Kourou"/>
    <x v="4"/>
    <x v="2"/>
    <x v="4"/>
    <n v="0"/>
    <n v="723"/>
    <n v="4316.82"/>
    <n v="40677"/>
    <x v="2"/>
    <x v="0"/>
    <s v="Sun-Synchronous"/>
    <n v="40"/>
    <n v="90.06"/>
  </r>
  <r>
    <s v="SM-01162"/>
    <s v="Mission_1162"/>
    <x v="3"/>
    <x v="0"/>
    <x v="1050"/>
    <s v="Sriharikota"/>
    <x v="2"/>
    <x v="1"/>
    <x v="1"/>
    <n v="5"/>
    <n v="1167"/>
    <n v="133.54"/>
    <n v="24111"/>
    <x v="2"/>
    <x v="1"/>
    <s v="LEO"/>
    <n v="39"/>
    <n v="119.76"/>
  </r>
  <r>
    <s v="SM-01163"/>
    <s v="Mission_1163"/>
    <x v="3"/>
    <x v="5"/>
    <x v="1051"/>
    <s v="Kennedy"/>
    <x v="4"/>
    <x v="4"/>
    <x v="1"/>
    <n v="4"/>
    <n v="1080"/>
    <n v="3610.98"/>
    <n v="34204"/>
    <x v="2"/>
    <x v="2"/>
    <s v="Polar"/>
    <n v="37"/>
    <n v="33.24"/>
  </r>
  <r>
    <s v="SM-01164"/>
    <s v="Mission_1164"/>
    <x v="4"/>
    <x v="4"/>
    <x v="1052"/>
    <s v="Kourou"/>
    <x v="2"/>
    <x v="4"/>
    <x v="5"/>
    <n v="8"/>
    <n v="455"/>
    <n v="3801.34"/>
    <n v="40771"/>
    <x v="0"/>
    <x v="2"/>
    <s v="LEO"/>
    <n v="17"/>
    <n v="74.97"/>
  </r>
  <r>
    <s v="SM-01165"/>
    <s v="Mission_1165"/>
    <x v="4"/>
    <x v="0"/>
    <x v="304"/>
    <s v="Jiuquan"/>
    <x v="2"/>
    <x v="0"/>
    <x v="5"/>
    <n v="6"/>
    <n v="1429"/>
    <n v="954.13"/>
    <n v="23680"/>
    <x v="2"/>
    <x v="1"/>
    <s v="Polar"/>
    <n v="43"/>
    <n v="220.6"/>
  </r>
  <r>
    <s v="SM-01166"/>
    <s v="Mission_1166"/>
    <x v="0"/>
    <x v="4"/>
    <x v="957"/>
    <s v="Kennedy"/>
    <x v="5"/>
    <x v="1"/>
    <x v="2"/>
    <n v="8"/>
    <n v="480"/>
    <n v="98.02"/>
    <n v="5453"/>
    <x v="0"/>
    <x v="3"/>
    <s v="MEO"/>
    <n v="37"/>
    <n v="122.39"/>
  </r>
  <r>
    <s v="SM-01167"/>
    <s v="Mission_1167"/>
    <x v="0"/>
    <x v="2"/>
    <x v="494"/>
    <s v="Sriharikota"/>
    <x v="2"/>
    <x v="2"/>
    <x v="4"/>
    <n v="4"/>
    <n v="633"/>
    <n v="2931.14"/>
    <n v="27516"/>
    <x v="1"/>
    <x v="3"/>
    <s v="LEO"/>
    <n v="49"/>
    <n v="100.8"/>
  </r>
  <r>
    <s v="SM-01168"/>
    <s v="Mission_1168"/>
    <x v="4"/>
    <x v="2"/>
    <x v="1053"/>
    <s v="Kennedy"/>
    <x v="3"/>
    <x v="4"/>
    <x v="2"/>
    <n v="7"/>
    <n v="842"/>
    <n v="1900.09"/>
    <n v="43974"/>
    <x v="1"/>
    <x v="0"/>
    <s v="Transfer Orbit"/>
    <n v="13"/>
    <n v="148.27000000000001"/>
  </r>
  <r>
    <s v="SM-01169"/>
    <s v="Mission_1169"/>
    <x v="4"/>
    <x v="1"/>
    <x v="1054"/>
    <s v="Jiuquan"/>
    <x v="3"/>
    <x v="4"/>
    <x v="3"/>
    <n v="2"/>
    <n v="252"/>
    <n v="2551.44"/>
    <n v="6367"/>
    <x v="2"/>
    <x v="0"/>
    <s v="Sun-Synchronous"/>
    <n v="23"/>
    <n v="41.11"/>
  </r>
  <r>
    <s v="SM-01170"/>
    <s v="Mission_1170"/>
    <x v="6"/>
    <x v="4"/>
    <x v="1055"/>
    <s v="Kennedy"/>
    <x v="4"/>
    <x v="5"/>
    <x v="5"/>
    <n v="0"/>
    <n v="959"/>
    <n v="2756.72"/>
    <n v="20105"/>
    <x v="0"/>
    <x v="0"/>
    <s v="Transfer Orbit"/>
    <n v="17"/>
    <n v="115.15"/>
  </r>
  <r>
    <s v="SM-01171"/>
    <s v="Mission_1171"/>
    <x v="1"/>
    <x v="3"/>
    <x v="1056"/>
    <s v="Sriharikota"/>
    <x v="5"/>
    <x v="5"/>
    <x v="3"/>
    <n v="3"/>
    <n v="1139"/>
    <n v="2913.77"/>
    <n v="45245"/>
    <x v="2"/>
    <x v="0"/>
    <s v="Sun-Synchronous"/>
    <n v="40"/>
    <n v="36.700000000000003"/>
  </r>
  <r>
    <s v="SM-01172"/>
    <s v="Mission_1172"/>
    <x v="2"/>
    <x v="1"/>
    <x v="1035"/>
    <s v="Tanegashima"/>
    <x v="0"/>
    <x v="2"/>
    <x v="4"/>
    <n v="6"/>
    <n v="1176"/>
    <n v="332.52"/>
    <n v="25820"/>
    <x v="2"/>
    <x v="1"/>
    <s v="GEO"/>
    <n v="19"/>
    <n v="60.33"/>
  </r>
  <r>
    <s v="SM-01173"/>
    <s v="Mission_1173"/>
    <x v="0"/>
    <x v="2"/>
    <x v="623"/>
    <s v="Jiuquan"/>
    <x v="2"/>
    <x v="0"/>
    <x v="0"/>
    <n v="3"/>
    <n v="741"/>
    <n v="3619.76"/>
    <n v="41703"/>
    <x v="0"/>
    <x v="2"/>
    <s v="LEO"/>
    <n v="43"/>
    <n v="207.63"/>
  </r>
  <r>
    <s v="SM-01174"/>
    <s v="Mission_1174"/>
    <x v="2"/>
    <x v="3"/>
    <x v="1057"/>
    <s v="Kennedy"/>
    <x v="4"/>
    <x v="4"/>
    <x v="5"/>
    <n v="5"/>
    <n v="307"/>
    <n v="4871.68"/>
    <n v="46586"/>
    <x v="2"/>
    <x v="2"/>
    <s v="LEO"/>
    <n v="35"/>
    <n v="9.4"/>
  </r>
  <r>
    <s v="SM-01175"/>
    <s v="Mission_1175"/>
    <x v="1"/>
    <x v="0"/>
    <x v="1058"/>
    <s v="Tanegashima"/>
    <x v="4"/>
    <x v="4"/>
    <x v="4"/>
    <n v="2"/>
    <n v="938"/>
    <n v="4623.84"/>
    <n v="22424"/>
    <x v="0"/>
    <x v="3"/>
    <s v="Sun-Synchronous"/>
    <n v="22"/>
    <n v="117.35"/>
  </r>
  <r>
    <s v="SM-01176"/>
    <s v="Mission_1176"/>
    <x v="2"/>
    <x v="1"/>
    <x v="1059"/>
    <s v="Jiuquan"/>
    <x v="1"/>
    <x v="4"/>
    <x v="3"/>
    <n v="4"/>
    <n v="1455"/>
    <n v="942.65"/>
    <n v="38089"/>
    <x v="1"/>
    <x v="2"/>
    <s v="Sun-Synchronous"/>
    <n v="21"/>
    <n v="54.98"/>
  </r>
  <r>
    <s v="SM-01177"/>
    <s v="Mission_1177"/>
    <x v="1"/>
    <x v="0"/>
    <x v="630"/>
    <s v="Baikonur"/>
    <x v="5"/>
    <x v="3"/>
    <x v="1"/>
    <n v="6"/>
    <n v="867"/>
    <n v="4268.88"/>
    <n v="29612"/>
    <x v="0"/>
    <x v="0"/>
    <s v="Sun-Synchronous"/>
    <n v="25"/>
    <n v="72.06"/>
  </r>
  <r>
    <s v="SM-01178"/>
    <s v="Mission_1178"/>
    <x v="0"/>
    <x v="1"/>
    <x v="1060"/>
    <s v="Jiuquan"/>
    <x v="1"/>
    <x v="5"/>
    <x v="4"/>
    <n v="6"/>
    <n v="1060"/>
    <n v="3811.95"/>
    <n v="25788"/>
    <x v="2"/>
    <x v="2"/>
    <s v="GEO"/>
    <n v="7"/>
    <n v="170.6"/>
  </r>
  <r>
    <s v="SM-01179"/>
    <s v="Mission_1179"/>
    <x v="1"/>
    <x v="5"/>
    <x v="1061"/>
    <s v="Tanegashima"/>
    <x v="1"/>
    <x v="0"/>
    <x v="2"/>
    <n v="1"/>
    <n v="986"/>
    <n v="3832.4"/>
    <n v="4363"/>
    <x v="1"/>
    <x v="1"/>
    <s v="GEO"/>
    <n v="50"/>
    <n v="23.66"/>
  </r>
  <r>
    <s v="SM-01180"/>
    <s v="Mission_1180"/>
    <x v="5"/>
    <x v="1"/>
    <x v="1062"/>
    <s v="Tanegashima"/>
    <x v="3"/>
    <x v="0"/>
    <x v="5"/>
    <n v="5"/>
    <n v="588"/>
    <n v="429.7"/>
    <n v="8098"/>
    <x v="0"/>
    <x v="3"/>
    <s v="Sun-Synchronous"/>
    <n v="28"/>
    <n v="109.44"/>
  </r>
  <r>
    <s v="SM-01181"/>
    <s v="Mission_1181"/>
    <x v="2"/>
    <x v="2"/>
    <x v="1063"/>
    <s v="Jiuquan"/>
    <x v="5"/>
    <x v="4"/>
    <x v="4"/>
    <n v="8"/>
    <n v="363"/>
    <n v="4185.87"/>
    <n v="26403"/>
    <x v="2"/>
    <x v="3"/>
    <s v="Polar"/>
    <n v="38"/>
    <n v="143.09"/>
  </r>
  <r>
    <s v="SM-01182"/>
    <s v="Mission_1182"/>
    <x v="5"/>
    <x v="5"/>
    <x v="1064"/>
    <s v="Sriharikota"/>
    <x v="1"/>
    <x v="5"/>
    <x v="4"/>
    <n v="7"/>
    <n v="621"/>
    <n v="359.07"/>
    <n v="30882"/>
    <x v="2"/>
    <x v="3"/>
    <s v="Transfer Orbit"/>
    <n v="8"/>
    <n v="65.84"/>
  </r>
  <r>
    <s v="SM-01183"/>
    <s v="Mission_1183"/>
    <x v="1"/>
    <x v="3"/>
    <x v="1065"/>
    <s v="Kennedy"/>
    <x v="2"/>
    <x v="1"/>
    <x v="0"/>
    <n v="1"/>
    <n v="886"/>
    <n v="2974.11"/>
    <n v="42484"/>
    <x v="0"/>
    <x v="3"/>
    <s v="Polar"/>
    <n v="24"/>
    <n v="188.25"/>
  </r>
  <r>
    <s v="SM-01184"/>
    <s v="Mission_1184"/>
    <x v="6"/>
    <x v="5"/>
    <x v="1066"/>
    <s v="Jiuquan"/>
    <x v="1"/>
    <x v="3"/>
    <x v="3"/>
    <n v="2"/>
    <n v="628"/>
    <n v="4786.63"/>
    <n v="28715"/>
    <x v="1"/>
    <x v="3"/>
    <s v="Transfer Orbit"/>
    <n v="24"/>
    <n v="75.33"/>
  </r>
  <r>
    <s v="SM-01185"/>
    <s v="Mission_1185"/>
    <x v="3"/>
    <x v="1"/>
    <x v="1067"/>
    <s v="Kourou"/>
    <x v="4"/>
    <x v="5"/>
    <x v="5"/>
    <n v="2"/>
    <n v="1451"/>
    <n v="3021.79"/>
    <n v="3748"/>
    <x v="0"/>
    <x v="0"/>
    <s v="Sun-Synchronous"/>
    <n v="14"/>
    <n v="231.81"/>
  </r>
  <r>
    <s v="SM-01186"/>
    <s v="Mission_1186"/>
    <x v="4"/>
    <x v="4"/>
    <x v="81"/>
    <s v="Jiuquan"/>
    <x v="0"/>
    <x v="1"/>
    <x v="0"/>
    <n v="5"/>
    <n v="263"/>
    <n v="3597.17"/>
    <n v="44904"/>
    <x v="0"/>
    <x v="1"/>
    <s v="MEO"/>
    <n v="28"/>
    <n v="245.9"/>
  </r>
  <r>
    <s v="SM-01187"/>
    <s v="Mission_1187"/>
    <x v="1"/>
    <x v="1"/>
    <x v="1068"/>
    <s v="Baikonur"/>
    <x v="1"/>
    <x v="4"/>
    <x v="4"/>
    <n v="3"/>
    <n v="85"/>
    <n v="377.82"/>
    <n v="25698"/>
    <x v="2"/>
    <x v="0"/>
    <s v="Sun-Synchronous"/>
    <n v="17"/>
    <n v="245.95"/>
  </r>
  <r>
    <s v="SM-01188"/>
    <s v="Mission_1188"/>
    <x v="3"/>
    <x v="2"/>
    <x v="1069"/>
    <s v="Kennedy"/>
    <x v="3"/>
    <x v="4"/>
    <x v="4"/>
    <n v="4"/>
    <n v="683"/>
    <n v="419.83"/>
    <n v="8440"/>
    <x v="0"/>
    <x v="0"/>
    <s v="Transfer Orbit"/>
    <n v="40"/>
    <n v="91.9"/>
  </r>
  <r>
    <s v="SM-01189"/>
    <s v="Mission_1189"/>
    <x v="3"/>
    <x v="3"/>
    <x v="1070"/>
    <s v="Jiuquan"/>
    <x v="4"/>
    <x v="1"/>
    <x v="5"/>
    <n v="0"/>
    <n v="1068"/>
    <n v="2298.67"/>
    <n v="4050"/>
    <x v="0"/>
    <x v="2"/>
    <s v="Sun-Synchronous"/>
    <n v="4"/>
    <n v="230.21"/>
  </r>
  <r>
    <s v="SM-01190"/>
    <s v="Mission_1190"/>
    <x v="4"/>
    <x v="2"/>
    <x v="158"/>
    <s v="Sriharikota"/>
    <x v="1"/>
    <x v="2"/>
    <x v="5"/>
    <n v="1"/>
    <n v="46"/>
    <n v="2170.2399999999998"/>
    <n v="34721"/>
    <x v="0"/>
    <x v="1"/>
    <s v="GEO"/>
    <n v="23"/>
    <n v="11.12"/>
  </r>
  <r>
    <s v="SM-01191"/>
    <s v="Mission_1191"/>
    <x v="5"/>
    <x v="1"/>
    <x v="1071"/>
    <s v="Tanegashima"/>
    <x v="1"/>
    <x v="2"/>
    <x v="2"/>
    <n v="4"/>
    <n v="1215"/>
    <n v="3814.13"/>
    <n v="43735"/>
    <x v="2"/>
    <x v="2"/>
    <s v="GEO"/>
    <n v="7"/>
    <n v="169.89"/>
  </r>
  <r>
    <s v="SM-01192"/>
    <s v="Mission_1192"/>
    <x v="0"/>
    <x v="3"/>
    <x v="1072"/>
    <s v="Baikonur"/>
    <x v="1"/>
    <x v="4"/>
    <x v="5"/>
    <n v="7"/>
    <n v="1215"/>
    <n v="1496.45"/>
    <n v="30907"/>
    <x v="0"/>
    <x v="2"/>
    <s v="GEO"/>
    <n v="41"/>
    <n v="231.18"/>
  </r>
  <r>
    <s v="SM-01193"/>
    <s v="Mission_1193"/>
    <x v="2"/>
    <x v="0"/>
    <x v="1073"/>
    <s v="Kennedy"/>
    <x v="5"/>
    <x v="0"/>
    <x v="1"/>
    <n v="0"/>
    <n v="1091"/>
    <n v="4655.75"/>
    <n v="25654"/>
    <x v="2"/>
    <x v="1"/>
    <s v="MEO"/>
    <n v="34"/>
    <n v="219.37"/>
  </r>
  <r>
    <s v="SM-01194"/>
    <s v="Mission_1194"/>
    <x v="6"/>
    <x v="4"/>
    <x v="1074"/>
    <s v="Kourou"/>
    <x v="2"/>
    <x v="0"/>
    <x v="5"/>
    <n v="4"/>
    <n v="289"/>
    <n v="3063.67"/>
    <n v="978"/>
    <x v="2"/>
    <x v="1"/>
    <s v="Polar"/>
    <n v="35"/>
    <n v="21.71"/>
  </r>
  <r>
    <s v="SM-01195"/>
    <s v="Mission_1195"/>
    <x v="3"/>
    <x v="2"/>
    <x v="971"/>
    <s v="Tanegashima"/>
    <x v="3"/>
    <x v="1"/>
    <x v="5"/>
    <n v="0"/>
    <n v="1206"/>
    <n v="4215.57"/>
    <n v="9650"/>
    <x v="2"/>
    <x v="0"/>
    <s v="Sun-Synchronous"/>
    <n v="9"/>
    <n v="70.89"/>
  </r>
  <r>
    <s v="SM-01196"/>
    <s v="Mission_1196"/>
    <x v="4"/>
    <x v="3"/>
    <x v="1075"/>
    <s v="Tanegashima"/>
    <x v="1"/>
    <x v="0"/>
    <x v="0"/>
    <n v="5"/>
    <n v="1064"/>
    <n v="4739.29"/>
    <n v="46710"/>
    <x v="0"/>
    <x v="3"/>
    <s v="LEO"/>
    <n v="38"/>
    <n v="174.07"/>
  </r>
  <r>
    <s v="SM-01197"/>
    <s v="Mission_1197"/>
    <x v="3"/>
    <x v="1"/>
    <x v="1076"/>
    <s v="Baikonur"/>
    <x v="3"/>
    <x v="1"/>
    <x v="0"/>
    <n v="7"/>
    <n v="301"/>
    <n v="4113.34"/>
    <n v="19937"/>
    <x v="1"/>
    <x v="0"/>
    <s v="Polar"/>
    <n v="18"/>
    <n v="20.58"/>
  </r>
  <r>
    <s v="SM-01198"/>
    <s v="Mission_1198"/>
    <x v="4"/>
    <x v="5"/>
    <x v="896"/>
    <s v="Jiuquan"/>
    <x v="1"/>
    <x v="2"/>
    <x v="5"/>
    <n v="5"/>
    <n v="255"/>
    <n v="4617.82"/>
    <n v="5537"/>
    <x v="1"/>
    <x v="3"/>
    <s v="LEO"/>
    <n v="21"/>
    <n v="82.12"/>
  </r>
  <r>
    <s v="SM-01199"/>
    <s v="Mission_1199"/>
    <x v="5"/>
    <x v="0"/>
    <x v="1077"/>
    <s v="Kourou"/>
    <x v="2"/>
    <x v="4"/>
    <x v="5"/>
    <n v="8"/>
    <n v="1408"/>
    <n v="4671.7299999999996"/>
    <n v="38270"/>
    <x v="1"/>
    <x v="2"/>
    <s v="GEO"/>
    <n v="12"/>
    <n v="237.11"/>
  </r>
  <r>
    <s v="SM-01200"/>
    <s v="Mission_1200"/>
    <x v="3"/>
    <x v="0"/>
    <x v="1078"/>
    <s v="Tanegashima"/>
    <x v="3"/>
    <x v="5"/>
    <x v="5"/>
    <n v="8"/>
    <n v="687"/>
    <n v="4385.28"/>
    <n v="26713"/>
    <x v="1"/>
    <x v="0"/>
    <s v="Transfer Orbit"/>
    <n v="29"/>
    <n v="45.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607CC-BD61-42CA-AC7B-43771D2BBFDA}" name="mission by agenc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6:B14" firstHeaderRow="1" firstDataRow="1" firstDataCol="1"/>
  <pivotFields count="20">
    <pivotField dataField="1" showAll="0"/>
    <pivotField showAll="0"/>
    <pivotField axis="axisRow" showAll="0">
      <items count="8">
        <item x="0"/>
        <item x="1"/>
        <item x="2"/>
        <item x="4"/>
        <item x="3"/>
        <item x="6"/>
        <item x="5"/>
        <item t="default"/>
      </items>
    </pivotField>
    <pivotField showAll="0">
      <items count="7">
        <item x="3"/>
        <item x="5"/>
        <item x="1"/>
        <item x="4"/>
        <item x="0"/>
        <item x="2"/>
        <item t="default"/>
      </items>
    </pivotField>
    <pivotField numFmtId="164" showAll="0">
      <items count="15">
        <item x="0"/>
        <item x="1"/>
        <item x="2"/>
        <item x="3"/>
        <item x="4"/>
        <item x="5"/>
        <item x="6"/>
        <item x="7"/>
        <item x="8"/>
        <item x="9"/>
        <item x="10"/>
        <item x="11"/>
        <item x="12"/>
        <item x="13"/>
        <item t="default"/>
      </items>
    </pivotField>
    <pivotField showAll="0"/>
    <pivotField showAll="0">
      <items count="7">
        <item x="5"/>
        <item x="4"/>
        <item x="3"/>
        <item x="0"/>
        <item x="1"/>
        <item x="2"/>
        <item t="default"/>
      </items>
    </pivotField>
    <pivotField showAll="0">
      <items count="7">
        <item x="3"/>
        <item x="2"/>
        <item x="0"/>
        <item x="5"/>
        <item x="1"/>
        <item x="4"/>
        <item t="default"/>
      </items>
    </pivotField>
    <pivotField showAll="0">
      <items count="7">
        <item x="1"/>
        <item x="0"/>
        <item x="5"/>
        <item x="3"/>
        <item x="2"/>
        <item x="4"/>
        <item t="default"/>
      </items>
    </pivotField>
    <pivotField showAll="0"/>
    <pivotField showAll="0"/>
    <pivotField showAll="0"/>
    <pivotField showAll="0"/>
    <pivotField showAll="0">
      <items count="4">
        <item x="2"/>
        <item x="1"/>
        <item x="0"/>
        <item t="default"/>
      </items>
    </pivotField>
    <pivotField showAll="0">
      <items count="5">
        <item x="1"/>
        <item x="0"/>
        <item x="2"/>
        <item x="3"/>
        <item t="default"/>
      </items>
    </pivotField>
    <pivotField showAll="0"/>
    <pivotField showAll="0"/>
    <pivotField showAll="0"/>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2"/>
  </rowFields>
  <rowItems count="8">
    <i>
      <x/>
    </i>
    <i>
      <x v="1"/>
    </i>
    <i>
      <x v="2"/>
    </i>
    <i>
      <x v="3"/>
    </i>
    <i>
      <x v="4"/>
    </i>
    <i>
      <x v="5"/>
    </i>
    <i>
      <x v="6"/>
    </i>
    <i t="grand">
      <x/>
    </i>
  </rowItems>
  <colItems count="1">
    <i/>
  </colItems>
  <dataFields count="1">
    <dataField name="Count of Mission_ID" fld="0" subtotal="count" baseField="0" baseItem="0"/>
  </dataField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5D387-184C-437C-BC40-436EF5508B9A}" name="budget by agenc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A22:B30" firstHeaderRow="1" firstDataRow="1" firstDataCol="1"/>
  <pivotFields count="20">
    <pivotField showAll="0"/>
    <pivotField showAll="0"/>
    <pivotField axis="axisRow" showAll="0">
      <items count="8">
        <item x="0"/>
        <item x="1"/>
        <item x="2"/>
        <item x="4"/>
        <item x="3"/>
        <item x="6"/>
        <item x="5"/>
        <item t="default"/>
      </items>
    </pivotField>
    <pivotField showAll="0">
      <items count="7">
        <item x="3"/>
        <item x="5"/>
        <item x="1"/>
        <item x="4"/>
        <item x="0"/>
        <item x="2"/>
        <item t="default"/>
      </items>
    </pivotField>
    <pivotField numFmtId="164" showAll="0">
      <items count="15">
        <item x="0"/>
        <item x="1"/>
        <item x="2"/>
        <item x="3"/>
        <item x="4"/>
        <item x="5"/>
        <item x="6"/>
        <item x="7"/>
        <item x="8"/>
        <item x="9"/>
        <item x="10"/>
        <item x="11"/>
        <item x="12"/>
        <item x="13"/>
        <item t="default"/>
      </items>
    </pivotField>
    <pivotField showAll="0"/>
    <pivotField showAll="0">
      <items count="7">
        <item x="5"/>
        <item x="4"/>
        <item x="3"/>
        <item x="0"/>
        <item x="1"/>
        <item x="2"/>
        <item t="default"/>
      </items>
    </pivotField>
    <pivotField showAll="0">
      <items count="7">
        <item x="3"/>
        <item x="2"/>
        <item x="0"/>
        <item x="5"/>
        <item x="1"/>
        <item x="4"/>
        <item t="default"/>
      </items>
    </pivotField>
    <pivotField showAll="0">
      <items count="7">
        <item x="1"/>
        <item x="0"/>
        <item x="5"/>
        <item x="3"/>
        <item x="2"/>
        <item x="4"/>
        <item t="default"/>
      </items>
    </pivotField>
    <pivotField showAll="0"/>
    <pivotField showAll="0"/>
    <pivotField dataField="1" showAll="0"/>
    <pivotField showAll="0"/>
    <pivotField showAll="0">
      <items count="4">
        <item x="2"/>
        <item x="1"/>
        <item x="0"/>
        <item t="default"/>
      </items>
    </pivotField>
    <pivotField showAll="0">
      <items count="5">
        <item x="1"/>
        <item x="0"/>
        <item x="2"/>
        <item x="3"/>
        <item t="default"/>
      </items>
    </pivotField>
    <pivotField showAll="0"/>
    <pivotField showAll="0"/>
    <pivotField showAll="0"/>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2"/>
  </rowFields>
  <rowItems count="8">
    <i>
      <x/>
    </i>
    <i>
      <x v="1"/>
    </i>
    <i>
      <x v="2"/>
    </i>
    <i>
      <x v="3"/>
    </i>
    <i>
      <x v="4"/>
    </i>
    <i>
      <x v="5"/>
    </i>
    <i>
      <x v="6"/>
    </i>
    <i t="grand">
      <x/>
    </i>
  </rowItems>
  <colItems count="1">
    <i/>
  </colItems>
  <dataFields count="1">
    <dataField name="Sum of Budget_Million_USD" fld="11" baseField="0" baseItem="0"/>
  </dataFields>
  <chartFormats count="2">
    <chartFormat chart="18"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E18636-B81A-4322-B693-0DDCA9976FEC}" name="launch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6:B40" firstHeaderRow="1" firstDataRow="1" firstDataCol="1"/>
  <pivotFields count="20">
    <pivotField showAll="0"/>
    <pivotField dataField="1" showAll="0"/>
    <pivotField showAll="0">
      <items count="8">
        <item x="0"/>
        <item x="1"/>
        <item x="2"/>
        <item x="4"/>
        <item x="3"/>
        <item x="6"/>
        <item x="5"/>
        <item t="default"/>
      </items>
    </pivotField>
    <pivotField showAll="0">
      <items count="7">
        <item x="3"/>
        <item x="5"/>
        <item x="1"/>
        <item x="4"/>
        <item x="0"/>
        <item x="2"/>
        <item t="default"/>
      </items>
    </pivotField>
    <pivotField numFmtId="164" showAll="0">
      <items count="15">
        <item x="0"/>
        <item x="1"/>
        <item x="2"/>
        <item x="3"/>
        <item x="4"/>
        <item x="5"/>
        <item x="6"/>
        <item x="7"/>
        <item x="8"/>
        <item x="9"/>
        <item x="10"/>
        <item x="11"/>
        <item x="12"/>
        <item x="13"/>
        <item t="default"/>
      </items>
    </pivotField>
    <pivotField showAll="0"/>
    <pivotField showAll="0">
      <items count="7">
        <item x="5"/>
        <item x="4"/>
        <item x="3"/>
        <item x="0"/>
        <item x="1"/>
        <item x="2"/>
        <item t="default"/>
      </items>
    </pivotField>
    <pivotField showAll="0">
      <items count="7">
        <item x="3"/>
        <item x="2"/>
        <item x="0"/>
        <item x="5"/>
        <item x="1"/>
        <item x="4"/>
        <item t="default"/>
      </items>
    </pivotField>
    <pivotField showAll="0">
      <items count="7">
        <item x="1"/>
        <item x="0"/>
        <item x="5"/>
        <item x="3"/>
        <item x="2"/>
        <item x="4"/>
        <item t="default"/>
      </items>
    </pivotField>
    <pivotField showAll="0"/>
    <pivotField showAll="0"/>
    <pivotField showAll="0"/>
    <pivotField showAll="0"/>
    <pivotField axis="axisRow" showAll="0">
      <items count="4">
        <item x="2"/>
        <item x="1"/>
        <item x="0"/>
        <item t="default"/>
      </items>
    </pivotField>
    <pivotField showAll="0">
      <items count="5">
        <item x="1"/>
        <item x="0"/>
        <item x="2"/>
        <item x="3"/>
        <item t="default"/>
      </items>
    </pivotField>
    <pivotField showAll="0"/>
    <pivotField showAll="0"/>
    <pivotField showAll="0"/>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13"/>
  </rowFields>
  <rowItems count="4">
    <i>
      <x/>
    </i>
    <i>
      <x v="1"/>
    </i>
    <i>
      <x v="2"/>
    </i>
    <i t="grand">
      <x/>
    </i>
  </rowItems>
  <colItems count="1">
    <i/>
  </colItems>
  <dataFields count="1">
    <dataField name="Count of Mission_Name" fld="1" subtotal="count" baseField="0" baseItem="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3" count="1" selected="0">
            <x v="0"/>
          </reference>
        </references>
      </pivotArea>
    </chartFormat>
    <chartFormat chart="6" format="2">
      <pivotArea type="data" outline="0" fieldPosition="0">
        <references count="2">
          <reference field="4294967294" count="1" selected="0">
            <x v="0"/>
          </reference>
          <reference field="13" count="1" selected="0">
            <x v="1"/>
          </reference>
        </references>
      </pivotArea>
    </chartFormat>
    <chartFormat chart="6" format="3">
      <pivotArea type="data" outline="0" fieldPosition="0">
        <references count="2">
          <reference field="4294967294" count="1" selected="0">
            <x v="0"/>
          </reference>
          <reference field="13"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3" count="1" selected="0">
            <x v="0"/>
          </reference>
        </references>
      </pivotArea>
    </chartFormat>
    <chartFormat chart="11" format="6">
      <pivotArea type="data" outline="0" fieldPosition="0">
        <references count="2">
          <reference field="4294967294" count="1" selected="0">
            <x v="0"/>
          </reference>
          <reference field="13" count="1" selected="0">
            <x v="1"/>
          </reference>
        </references>
      </pivotArea>
    </chartFormat>
    <chartFormat chart="11" format="7">
      <pivotArea type="data" outline="0" fieldPosition="0">
        <references count="2">
          <reference field="4294967294" count="1" selected="0">
            <x v="0"/>
          </reference>
          <reference field="13"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3" count="1" selected="0">
            <x v="0"/>
          </reference>
        </references>
      </pivotArea>
    </chartFormat>
    <chartFormat chart="14" format="10">
      <pivotArea type="data" outline="0" fieldPosition="0">
        <references count="2">
          <reference field="4294967294" count="1" selected="0">
            <x v="0"/>
          </reference>
          <reference field="13" count="1" selected="0">
            <x v="1"/>
          </reference>
        </references>
      </pivotArea>
    </chartFormat>
    <chartFormat chart="14"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831861-0238-401D-933C-A0EB4C418B8B}" name="mission by des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52:B59" firstHeaderRow="1" firstDataRow="1" firstDataCol="1"/>
  <pivotFields count="20">
    <pivotField dataField="1" showAll="0"/>
    <pivotField showAll="0"/>
    <pivotField showAll="0">
      <items count="8">
        <item x="0"/>
        <item x="1"/>
        <item x="2"/>
        <item x="4"/>
        <item x="3"/>
        <item x="6"/>
        <item x="5"/>
        <item t="default"/>
      </items>
    </pivotField>
    <pivotField showAll="0">
      <items count="7">
        <item x="3"/>
        <item x="5"/>
        <item x="1"/>
        <item x="4"/>
        <item x="0"/>
        <item x="2"/>
        <item t="default"/>
      </items>
    </pivotField>
    <pivotField numFmtId="164" showAll="0">
      <items count="15">
        <item x="0"/>
        <item x="1"/>
        <item x="2"/>
        <item x="3"/>
        <item x="4"/>
        <item x="5"/>
        <item x="6"/>
        <item x="7"/>
        <item x="8"/>
        <item x="9"/>
        <item x="10"/>
        <item x="11"/>
        <item x="12"/>
        <item x="13"/>
        <item t="default"/>
      </items>
    </pivotField>
    <pivotField showAll="0"/>
    <pivotField showAll="0">
      <items count="7">
        <item x="5"/>
        <item x="4"/>
        <item x="3"/>
        <item x="0"/>
        <item x="1"/>
        <item x="2"/>
        <item t="default"/>
      </items>
    </pivotField>
    <pivotField showAll="0">
      <items count="7">
        <item x="3"/>
        <item x="2"/>
        <item x="0"/>
        <item x="5"/>
        <item x="1"/>
        <item x="4"/>
        <item t="default"/>
      </items>
    </pivotField>
    <pivotField axis="axisRow" showAll="0">
      <items count="7">
        <item x="1"/>
        <item x="0"/>
        <item x="5"/>
        <item x="3"/>
        <item x="2"/>
        <item x="4"/>
        <item t="default"/>
      </items>
    </pivotField>
    <pivotField showAll="0"/>
    <pivotField showAll="0"/>
    <pivotField showAll="0"/>
    <pivotField showAll="0"/>
    <pivotField showAll="0">
      <items count="4">
        <item x="2"/>
        <item x="1"/>
        <item x="0"/>
        <item t="default"/>
      </items>
    </pivotField>
    <pivotField showAll="0">
      <items count="5">
        <item x="1"/>
        <item x="0"/>
        <item x="2"/>
        <item x="3"/>
        <item t="default"/>
      </items>
    </pivotField>
    <pivotField showAll="0"/>
    <pivotField showAll="0"/>
    <pivotField showAll="0"/>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8"/>
  </rowFields>
  <rowItems count="7">
    <i>
      <x/>
    </i>
    <i>
      <x v="1"/>
    </i>
    <i>
      <x v="2"/>
    </i>
    <i>
      <x v="3"/>
    </i>
    <i>
      <x v="4"/>
    </i>
    <i>
      <x v="5"/>
    </i>
    <i t="grand">
      <x/>
    </i>
  </rowItems>
  <colItems count="1">
    <i/>
  </colItems>
  <dataFields count="1">
    <dataField name="Count of Mission_ID" fld="0" subtotal="count" baseField="0" baseItem="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 chart="3" format="4">
      <pivotArea type="data" outline="0" fieldPosition="0">
        <references count="2">
          <reference field="4294967294" count="1" selected="0">
            <x v="0"/>
          </reference>
          <reference field="8" count="1" selected="0">
            <x v="3"/>
          </reference>
        </references>
      </pivotArea>
    </chartFormat>
    <chartFormat chart="3" format="5">
      <pivotArea type="data" outline="0" fieldPosition="0">
        <references count="2">
          <reference field="4294967294" count="1" selected="0">
            <x v="0"/>
          </reference>
          <reference field="8" count="1" selected="0">
            <x v="4"/>
          </reference>
        </references>
      </pivotArea>
    </chartFormat>
    <chartFormat chart="3" format="6">
      <pivotArea type="data" outline="0" fieldPosition="0">
        <references count="2">
          <reference field="4294967294" count="1" selected="0">
            <x v="0"/>
          </reference>
          <reference field="8" count="1" selected="0">
            <x v="5"/>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8" count="1" selected="0">
            <x v="0"/>
          </reference>
        </references>
      </pivotArea>
    </chartFormat>
    <chartFormat chart="10" format="16">
      <pivotArea type="data" outline="0" fieldPosition="0">
        <references count="2">
          <reference field="4294967294" count="1" selected="0">
            <x v="0"/>
          </reference>
          <reference field="8" count="1" selected="0">
            <x v="1"/>
          </reference>
        </references>
      </pivotArea>
    </chartFormat>
    <chartFormat chart="10" format="17">
      <pivotArea type="data" outline="0" fieldPosition="0">
        <references count="2">
          <reference field="4294967294" count="1" selected="0">
            <x v="0"/>
          </reference>
          <reference field="8" count="1" selected="0">
            <x v="2"/>
          </reference>
        </references>
      </pivotArea>
    </chartFormat>
    <chartFormat chart="10" format="18">
      <pivotArea type="data" outline="0" fieldPosition="0">
        <references count="2">
          <reference field="4294967294" count="1" selected="0">
            <x v="0"/>
          </reference>
          <reference field="8" count="1" selected="0">
            <x v="3"/>
          </reference>
        </references>
      </pivotArea>
    </chartFormat>
    <chartFormat chart="10" format="19">
      <pivotArea type="data" outline="0" fieldPosition="0">
        <references count="2">
          <reference field="4294967294" count="1" selected="0">
            <x v="0"/>
          </reference>
          <reference field="8" count="1" selected="0">
            <x v="4"/>
          </reference>
        </references>
      </pivotArea>
    </chartFormat>
    <chartFormat chart="10" format="20">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2BEF5B-E9CA-4DDC-9260-85D0B30597D8}" name="mission type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88:B95" firstHeaderRow="1" firstDataRow="1" firstDataCol="1"/>
  <pivotFields count="20">
    <pivotField dataField="1" showAll="0"/>
    <pivotField showAll="0"/>
    <pivotField showAll="0">
      <items count="8">
        <item x="0"/>
        <item x="1"/>
        <item x="2"/>
        <item x="4"/>
        <item x="3"/>
        <item x="6"/>
        <item x="5"/>
        <item t="default"/>
      </items>
    </pivotField>
    <pivotField showAll="0">
      <items count="7">
        <item x="3"/>
        <item x="5"/>
        <item x="1"/>
        <item x="4"/>
        <item x="0"/>
        <item x="2"/>
        <item t="default"/>
      </items>
    </pivotField>
    <pivotField numFmtId="164" showAll="0"/>
    <pivotField showAll="0"/>
    <pivotField showAll="0">
      <items count="7">
        <item x="5"/>
        <item x="4"/>
        <item x="3"/>
        <item x="0"/>
        <item x="1"/>
        <item x="2"/>
        <item t="default"/>
      </items>
    </pivotField>
    <pivotField axis="axisRow" showAll="0">
      <items count="7">
        <item x="3"/>
        <item x="2"/>
        <item x="0"/>
        <item x="5"/>
        <item x="1"/>
        <item x="4"/>
        <item t="default"/>
      </items>
    </pivotField>
    <pivotField showAll="0">
      <items count="7">
        <item x="1"/>
        <item x="0"/>
        <item x="5"/>
        <item x="3"/>
        <item x="2"/>
        <item x="4"/>
        <item t="default"/>
      </items>
    </pivotField>
    <pivotField showAll="0"/>
    <pivotField showAll="0"/>
    <pivotField showAll="0"/>
    <pivotField showAll="0"/>
    <pivotField showAll="0">
      <items count="4">
        <item x="2"/>
        <item x="1"/>
        <item x="0"/>
        <item t="default"/>
      </items>
    </pivotField>
    <pivotField showAll="0">
      <items count="5">
        <item x="1"/>
        <item x="0"/>
        <item x="2"/>
        <item x="3"/>
        <item t="default"/>
      </items>
    </pivotField>
    <pivotField showAll="0"/>
    <pivotField showAll="0"/>
    <pivotField showAll="0"/>
    <pivotField showAll="0" defaultSubtotal="0"/>
    <pivotField showAll="0" defaultSubtotal="0"/>
  </pivotFields>
  <rowFields count="1">
    <field x="7"/>
  </rowFields>
  <rowItems count="7">
    <i>
      <x/>
    </i>
    <i>
      <x v="1"/>
    </i>
    <i>
      <x v="2"/>
    </i>
    <i>
      <x v="3"/>
    </i>
    <i>
      <x v="4"/>
    </i>
    <i>
      <x v="5"/>
    </i>
    <i t="grand">
      <x/>
    </i>
  </rowItems>
  <colItems count="1">
    <i/>
  </colItems>
  <dataFields count="1">
    <dataField name="Count of Mission_ID" fld="0" subtotal="count" baseField="0" baseItem="0"/>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7F6A00-9716-49A7-8441-0BEC31DA2AF3}" name="mission by destin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68:B86" firstHeaderRow="1" firstDataRow="1" firstDataCol="1"/>
  <pivotFields count="20">
    <pivotField dataField="1" showAll="0"/>
    <pivotField showAll="0"/>
    <pivotField showAll="0">
      <items count="8">
        <item x="0"/>
        <item x="1"/>
        <item x="2"/>
        <item x="4"/>
        <item x="3"/>
        <item x="6"/>
        <item x="5"/>
        <item t="default"/>
      </items>
    </pivotField>
    <pivotField showAll="0">
      <items count="7">
        <item x="3"/>
        <item x="5"/>
        <item x="1"/>
        <item x="4"/>
        <item x="0"/>
        <item x="2"/>
        <item t="default"/>
      </items>
    </pivotField>
    <pivotField axis="axisRow" numFmtId="164" showAll="0">
      <items count="15">
        <item x="0"/>
        <item x="1"/>
        <item x="2"/>
        <item x="3"/>
        <item x="4"/>
        <item x="5"/>
        <item x="6"/>
        <item x="7"/>
        <item x="8"/>
        <item x="9"/>
        <item x="10"/>
        <item x="11"/>
        <item x="12"/>
        <item x="13"/>
        <item t="default"/>
      </items>
    </pivotField>
    <pivotField showAll="0"/>
    <pivotField showAll="0">
      <items count="7">
        <item x="5"/>
        <item x="4"/>
        <item x="3"/>
        <item x="0"/>
        <item x="1"/>
        <item x="2"/>
        <item t="default"/>
      </items>
    </pivotField>
    <pivotField showAll="0">
      <items count="7">
        <item x="3"/>
        <item x="2"/>
        <item x="0"/>
        <item x="5"/>
        <item x="1"/>
        <item x="4"/>
        <item t="default"/>
      </items>
    </pivotField>
    <pivotField showAll="0">
      <items count="7">
        <item x="1"/>
        <item x="0"/>
        <item x="5"/>
        <item x="3"/>
        <item x="2"/>
        <item x="4"/>
        <item t="default"/>
      </items>
    </pivotField>
    <pivotField showAll="0"/>
    <pivotField showAll="0"/>
    <pivotField showAll="0"/>
    <pivotField showAll="0"/>
    <pivotField showAll="0">
      <items count="4">
        <item x="2"/>
        <item x="1"/>
        <item x="0"/>
        <item t="default"/>
      </items>
    </pivotField>
    <pivotField showAll="0">
      <items count="5">
        <item x="1"/>
        <item x="0"/>
        <item x="2"/>
        <item x="3"/>
        <item t="default"/>
      </items>
    </pivotField>
    <pivotField showAll="0"/>
    <pivotField showAll="0"/>
    <pivotField showAll="0"/>
    <pivotField axis="axisRow" showAll="0">
      <items count="7">
        <item sd="0" x="0"/>
        <item sd="0" x="1"/>
        <item sd="0" x="2"/>
        <item sd="0" x="3"/>
        <item sd="0" x="4"/>
        <item sd="0" x="5"/>
        <item t="default" sd="0"/>
      </items>
    </pivotField>
    <pivotField axis="axisRow" showAll="0">
      <items count="20">
        <item sd="0" x="0"/>
        <item sd="0" x="1"/>
        <item sd="0" x="2"/>
        <item sd="0" x="3"/>
        <item sd="0" x="4"/>
        <item sd="0" x="5"/>
        <item sd="0" x="6"/>
        <item sd="0" x="7"/>
        <item sd="0" x="8"/>
        <item sd="0" x="9"/>
        <item sd="0" x="10"/>
        <item sd="0" x="11"/>
        <item sd="0" x="12"/>
        <item sd="0" x="13"/>
        <item sd="0" x="14"/>
        <item sd="0" x="15"/>
        <item sd="0" x="16"/>
        <item sd="0" x="17"/>
        <item sd="0" x="18"/>
        <item t="default" sd="0"/>
      </items>
    </pivotField>
  </pivotFields>
  <rowFields count="3">
    <field x="19"/>
    <field x="18"/>
    <field x="4"/>
  </rowFields>
  <rowItems count="18">
    <i>
      <x v="1"/>
    </i>
    <i>
      <x v="2"/>
    </i>
    <i>
      <x v="3"/>
    </i>
    <i>
      <x v="4"/>
    </i>
    <i>
      <x v="5"/>
    </i>
    <i>
      <x v="6"/>
    </i>
    <i>
      <x v="7"/>
    </i>
    <i>
      <x v="8"/>
    </i>
    <i>
      <x v="9"/>
    </i>
    <i>
      <x v="10"/>
    </i>
    <i>
      <x v="11"/>
    </i>
    <i>
      <x v="12"/>
    </i>
    <i>
      <x v="13"/>
    </i>
    <i>
      <x v="14"/>
    </i>
    <i>
      <x v="15"/>
    </i>
    <i>
      <x v="16"/>
    </i>
    <i>
      <x v="17"/>
    </i>
    <i t="grand">
      <x/>
    </i>
  </rowItems>
  <colItems count="1">
    <i/>
  </colItems>
  <dataFields count="1">
    <dataField name="Count of Mission_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9" count="1" selected="0">
            <x v="17"/>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9"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091C33-56AE-471F-A4DD-3C8B3CBE9F5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18:B126" firstHeaderRow="1" firstDataRow="1" firstDataCol="1"/>
  <pivotFields count="20">
    <pivotField showAll="0"/>
    <pivotField showAll="0"/>
    <pivotField axis="axisRow" showAll="0">
      <items count="8">
        <item x="0"/>
        <item x="1"/>
        <item x="2"/>
        <item x="4"/>
        <item x="3"/>
        <item x="6"/>
        <item x="5"/>
        <item t="default"/>
      </items>
    </pivotField>
    <pivotField showAll="0"/>
    <pivotField numFmtId="164" showAll="0"/>
    <pivotField showAll="0"/>
    <pivotField showAll="0">
      <items count="7">
        <item x="5"/>
        <item x="4"/>
        <item x="3"/>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s>
  <rowFields count="1">
    <field x="2"/>
  </rowFields>
  <rowItems count="8">
    <i>
      <x/>
    </i>
    <i>
      <x v="1"/>
    </i>
    <i>
      <x v="2"/>
    </i>
    <i>
      <x v="3"/>
    </i>
    <i>
      <x v="4"/>
    </i>
    <i>
      <x v="5"/>
    </i>
    <i>
      <x v="6"/>
    </i>
    <i t="grand">
      <x/>
    </i>
  </rowItems>
  <colItems count="1">
    <i/>
  </colItems>
  <dataFields count="1">
    <dataField name="Average of Mission_Duration_Days" fld="10" subtotal="average" baseField="2"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3D10E1-C61E-4FDB-8E05-78313972D6BE}" name="count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0">
  <location ref="A102:B109" firstHeaderRow="1" firstDataRow="1" firstDataCol="1"/>
  <pivotFields count="20">
    <pivotField dataField="1" showAll="0"/>
    <pivotField showAll="0"/>
    <pivotField showAll="0">
      <items count="8">
        <item x="0"/>
        <item x="1"/>
        <item x="2"/>
        <item x="4"/>
        <item x="3"/>
        <item x="6"/>
        <item x="5"/>
        <item t="default"/>
      </items>
    </pivotField>
    <pivotField axis="axisRow" showAll="0">
      <items count="7">
        <item x="3"/>
        <item x="5"/>
        <item x="1"/>
        <item x="4"/>
        <item x="0"/>
        <item x="2"/>
        <item t="default"/>
      </items>
    </pivotField>
    <pivotField numFmtId="164" showAll="0"/>
    <pivotField showAll="0"/>
    <pivotField showAll="0">
      <items count="7">
        <item x="5"/>
        <item x="4"/>
        <item x="3"/>
        <item x="0"/>
        <item x="1"/>
        <item x="2"/>
        <item t="default"/>
      </items>
    </pivotField>
    <pivotField showAll="0">
      <items count="7">
        <item x="3"/>
        <item x="2"/>
        <item x="0"/>
        <item x="5"/>
        <item x="1"/>
        <item x="4"/>
        <item t="default"/>
      </items>
    </pivotField>
    <pivotField showAll="0">
      <items count="7">
        <item x="1"/>
        <item x="0"/>
        <item x="5"/>
        <item x="3"/>
        <item x="2"/>
        <item x="4"/>
        <item t="default"/>
      </items>
    </pivotField>
    <pivotField showAll="0"/>
    <pivotField showAll="0"/>
    <pivotField showAll="0"/>
    <pivotField showAll="0"/>
    <pivotField showAll="0">
      <items count="4">
        <item x="2"/>
        <item x="1"/>
        <item x="0"/>
        <item t="default"/>
      </items>
    </pivotField>
    <pivotField showAll="0">
      <items count="5">
        <item x="1"/>
        <item x="0"/>
        <item x="2"/>
        <item x="3"/>
        <item t="default"/>
      </items>
    </pivotField>
    <pivotField showAll="0"/>
    <pivotField showAll="0"/>
    <pivotField showAll="0"/>
    <pivotField showAll="0" defaultSubtotal="0"/>
    <pivotField showAll="0" defaultSubtotal="0"/>
  </pivotFields>
  <rowFields count="1">
    <field x="3"/>
  </rowFields>
  <rowItems count="7">
    <i>
      <x/>
    </i>
    <i>
      <x v="1"/>
    </i>
    <i>
      <x v="2"/>
    </i>
    <i>
      <x v="3"/>
    </i>
    <i>
      <x v="4"/>
    </i>
    <i>
      <x v="5"/>
    </i>
    <i t="grand">
      <x/>
    </i>
  </rowItems>
  <colItems count="1">
    <i/>
  </colItems>
  <dataFields count="1">
    <dataField name="Count of Mission_ID" fld="0" subtotal="count" baseField="0" baseItem="0"/>
  </dataFields>
  <chartFormats count="2">
    <chartFormat chart="33"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4847B61-9C8E-4F4C-A619-999FBEE6CEC5}" sourceName="Country">
  <pivotTables>
    <pivotTable tabId="2" name="mission by agency"/>
    <pivotTable tabId="2" name="budget by agency"/>
    <pivotTable tabId="2" name="count analysis"/>
    <pivotTable tabId="2" name="launch status"/>
    <pivotTable tabId="2" name="mission by destination"/>
    <pivotTable tabId="2" name="mission by destion"/>
    <pivotTable tabId="2" name="mission type analysis"/>
  </pivotTables>
  <data>
    <tabular pivotCacheId="1247070909">
      <items count="6">
        <i x="3" s="1"/>
        <i x="5" s="1"/>
        <i x="1"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ssion_Type" xr10:uid="{9B3A8E53-A260-4375-8681-246EAA7ECFB7}" sourceName="Mission_Type">
  <pivotTables>
    <pivotTable tabId="2" name="mission by agency"/>
    <pivotTable tabId="2" name="budget by agency"/>
    <pivotTable tabId="2" name="count analysis"/>
    <pivotTable tabId="2" name="launch status"/>
    <pivotTable tabId="2" name="mission by destination"/>
    <pivotTable tabId="2" name="mission by destion"/>
    <pivotTable tabId="2" name="mission type analysis"/>
  </pivotTables>
  <data>
    <tabular pivotCacheId="1247070909">
      <items count="6">
        <i x="3" s="1"/>
        <i x="2" s="1"/>
        <i x="0" s="1"/>
        <i x="5"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unch_Status" xr10:uid="{46DB68DE-9E23-4E33-B163-38186A4811A1}" sourceName="Launch_Status">
  <pivotTables>
    <pivotTable tabId="2" name="mission by agency"/>
    <pivotTable tabId="2" name="budget by agency"/>
    <pivotTable tabId="2" name="count analysis"/>
    <pivotTable tabId="2" name="launch status"/>
    <pivotTable tabId="2" name="mission by destination"/>
    <pivotTable tabId="2" name="mission by destion"/>
    <pivotTable tabId="2" name="mission type analysis"/>
  </pivotTables>
  <data>
    <tabular pivotCacheId="124707090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cy" xr10:uid="{3EEE8407-9A42-4E29-9EDF-CEF9C95AF81C}" sourceName="Agency">
  <pivotTables>
    <pivotTable tabId="2" name="mission by agency"/>
    <pivotTable tabId="2" name="budget by agency"/>
    <pivotTable tabId="2" name="count analysis"/>
    <pivotTable tabId="2" name="launch status"/>
    <pivotTable tabId="2" name="mission by destination"/>
    <pivotTable tabId="2" name="mission by destion"/>
    <pivotTable tabId="2" name="mission type analysis"/>
  </pivotTables>
  <data>
    <tabular pivotCacheId="1247070909">
      <items count="7">
        <i x="0" s="1"/>
        <i x="1" s="1"/>
        <i x="2" s="1"/>
        <i x="4" s="1"/>
        <i x="3"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113F0013-DF39-43A7-9C2A-40C8CC1F4DBF}" cache="Slicer_Country" caption="Country" columnCount="2" style="Slicer Style 2" rowHeight="234950"/>
  <slicer name="Mission_Type 1" xr10:uid="{0024AFB2-79AB-44C2-A920-D7F78655C9CD}" cache="Slicer_Mission_Type" caption="Mission_Type" columnCount="2" style="Slicer Style 2" rowHeight="234950"/>
  <slicer name="Launch_Status" xr10:uid="{B8D604BF-7001-4473-A79C-8E533986FE26}" cache="Slicer_Launch_Status" caption="Launch_Status" columnCount="2" style="Slicer Style 2" rowHeight="234950"/>
  <slicer name="Agency 1" xr10:uid="{74C4BBA6-AE3B-4261-9083-30446672F923}" cache="Slicer_Agency" caption="Agency" columnCount="2"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5A5475-3BA0-4863-9DF8-15CC69A88A04}" name="Table1" displayName="Table1" ref="A1:R1201" totalsRowShown="0">
  <tableColumns count="18">
    <tableColumn id="1" xr3:uid="{9B895986-55DF-43E5-9291-2A2021296661}" name="Mission_ID"/>
    <tableColumn id="2" xr3:uid="{BC45B659-EA6B-41C8-9EE7-47D5BA7D2690}" name="Mission_Name"/>
    <tableColumn id="3" xr3:uid="{0D29804A-7E08-4FB3-82C6-D8A07EC46986}" name="Agency"/>
    <tableColumn id="4" xr3:uid="{81A8A3B6-F14B-4857-826A-C990A525C709}" name="Country"/>
    <tableColumn id="5" xr3:uid="{16053535-F82A-44EE-9DF9-D179D826A842}" name="Launch_Date" dataDxfId="0"/>
    <tableColumn id="6" xr3:uid="{3CA51D8D-5711-493F-B4A6-22B6A1ED734B}" name="Launch_Site"/>
    <tableColumn id="7" xr3:uid="{8B8924B3-D1B4-4853-91B9-58F837229FF0}" name="Rocket"/>
    <tableColumn id="8" xr3:uid="{0A336414-3266-4F18-A265-6ED0244FC15C}" name="Mission_Type"/>
    <tableColumn id="9" xr3:uid="{7100D1A9-ACA1-4007-9D23-30632712F8E0}" name="Destination"/>
    <tableColumn id="10" xr3:uid="{7B6304DB-4A84-40F9-8EA6-1306AEB3A2DC}" name="Crew_Size"/>
    <tableColumn id="11" xr3:uid="{706EA63C-152B-4726-97A9-72F270491D1D}" name="Mission_Duration_Days"/>
    <tableColumn id="12" xr3:uid="{6DF3F05C-BD90-4BF0-9A28-9CF47AC29E5E}" name="Budget_Million_USD"/>
    <tableColumn id="13" xr3:uid="{4F1E3404-3C46-407D-9234-897ED1592D41}" name="Payload_kg"/>
    <tableColumn id="14" xr3:uid="{66E83024-8400-45BD-A55C-F16F71009655}" name="Launch_Status"/>
    <tableColumn id="15" xr3:uid="{C6E61EC5-55F3-4FF1-97B4-79AB3411A695}" name="Mission_Status"/>
    <tableColumn id="16" xr3:uid="{034B6964-9604-4D21-865C-6AC856FD1024}" name="Orbit_Type"/>
    <tableColumn id="17" xr3:uid="{CA033F6A-B95E-4595-8E87-8898FFCB1D04}" name="Scientific_Experiments"/>
    <tableColumn id="18" xr3:uid="{218488A7-683A-4762-B9A9-0D730403C828}" name="Data_Collected_TB"/>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workbookViewId="0">
      <selection activeCell="V7" sqref="V7"/>
    </sheetView>
  </sheetViews>
  <sheetFormatPr defaultRowHeight="14.4" x14ac:dyDescent="0.3"/>
  <cols>
    <col min="1" max="1" width="12.109375" customWidth="1"/>
    <col min="2" max="2" width="15.33203125" customWidth="1"/>
    <col min="3" max="3" width="10.21875" bestFit="1" customWidth="1"/>
    <col min="4" max="4" width="9.6640625" customWidth="1"/>
    <col min="5" max="5" width="13.88671875" style="1" customWidth="1"/>
    <col min="6" max="6" width="13.109375" customWidth="1"/>
    <col min="7" max="7" width="12" bestFit="1" customWidth="1"/>
    <col min="8" max="8" width="15.77734375" bestFit="1" customWidth="1"/>
    <col min="9" max="9" width="12.44140625" customWidth="1"/>
    <col min="10" max="10" width="11.33203125" customWidth="1"/>
    <col min="11" max="11" width="22.6640625" customWidth="1"/>
    <col min="12" max="12" width="20.21875" customWidth="1"/>
    <col min="13" max="13" width="12.6640625" customWidth="1"/>
    <col min="14" max="14" width="15.21875" customWidth="1"/>
    <col min="15" max="15" width="15.5546875" customWidth="1"/>
    <col min="16" max="16" width="15" bestFit="1" customWidth="1"/>
    <col min="17" max="17" width="21.77734375" customWidth="1"/>
    <col min="18" max="18" width="18.6640625" customWidth="1"/>
  </cols>
  <sheetData>
    <row r="1" spans="1:18" x14ac:dyDescent="0.3">
      <c r="A1" t="s">
        <v>0</v>
      </c>
      <c r="B1" t="s">
        <v>1</v>
      </c>
      <c r="C1" t="s">
        <v>2</v>
      </c>
      <c r="D1" t="s">
        <v>3</v>
      </c>
      <c r="E1" s="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s="4">
        <v>42688</v>
      </c>
      <c r="F2" t="s">
        <v>22</v>
      </c>
      <c r="G2" t="s">
        <v>23</v>
      </c>
      <c r="H2" t="s">
        <v>24</v>
      </c>
      <c r="I2" t="s">
        <v>25</v>
      </c>
      <c r="J2">
        <v>8</v>
      </c>
      <c r="K2">
        <v>1163</v>
      </c>
      <c r="L2">
        <v>1113.8900000000001</v>
      </c>
      <c r="M2">
        <v>40215</v>
      </c>
      <c r="N2" t="s">
        <v>26</v>
      </c>
      <c r="O2" t="s">
        <v>27</v>
      </c>
      <c r="P2" t="s">
        <v>28</v>
      </c>
      <c r="Q2">
        <v>50</v>
      </c>
      <c r="R2">
        <v>167</v>
      </c>
    </row>
    <row r="3" spans="1:18" x14ac:dyDescent="0.3">
      <c r="A3" t="s">
        <v>29</v>
      </c>
      <c r="B3" t="s">
        <v>30</v>
      </c>
      <c r="C3" t="s">
        <v>31</v>
      </c>
      <c r="D3" t="s">
        <v>32</v>
      </c>
      <c r="E3" s="4">
        <v>44997</v>
      </c>
      <c r="F3" t="s">
        <v>22</v>
      </c>
      <c r="G3" t="s">
        <v>33</v>
      </c>
      <c r="H3" t="s">
        <v>34</v>
      </c>
      <c r="I3" t="s">
        <v>35</v>
      </c>
      <c r="J3">
        <v>3</v>
      </c>
      <c r="K3">
        <v>339</v>
      </c>
      <c r="L3">
        <v>274.57</v>
      </c>
      <c r="M3">
        <v>35802</v>
      </c>
      <c r="N3" t="s">
        <v>36</v>
      </c>
      <c r="O3" t="s">
        <v>37</v>
      </c>
      <c r="P3" t="s">
        <v>38</v>
      </c>
      <c r="Q3">
        <v>22</v>
      </c>
      <c r="R3">
        <v>126.56</v>
      </c>
    </row>
    <row r="4" spans="1:18" x14ac:dyDescent="0.3">
      <c r="A4" t="s">
        <v>39</v>
      </c>
      <c r="B4" t="s">
        <v>40</v>
      </c>
      <c r="C4" t="s">
        <v>41</v>
      </c>
      <c r="D4" t="s">
        <v>42</v>
      </c>
      <c r="E4" s="4">
        <v>43343</v>
      </c>
      <c r="F4" t="s">
        <v>43</v>
      </c>
      <c r="G4" t="s">
        <v>44</v>
      </c>
      <c r="H4" t="s">
        <v>24</v>
      </c>
      <c r="I4" t="s">
        <v>34</v>
      </c>
      <c r="J4">
        <v>1</v>
      </c>
      <c r="K4">
        <v>403</v>
      </c>
      <c r="L4">
        <v>3906.26</v>
      </c>
      <c r="M4">
        <v>14208</v>
      </c>
      <c r="N4" t="s">
        <v>26</v>
      </c>
      <c r="O4" t="s">
        <v>27</v>
      </c>
      <c r="P4" t="s">
        <v>45</v>
      </c>
      <c r="Q4">
        <v>16</v>
      </c>
      <c r="R4">
        <v>247.25</v>
      </c>
    </row>
    <row r="5" spans="1:18" x14ac:dyDescent="0.3">
      <c r="A5" t="s">
        <v>46</v>
      </c>
      <c r="B5" t="s">
        <v>47</v>
      </c>
      <c r="C5" t="s">
        <v>20</v>
      </c>
      <c r="D5" t="s">
        <v>42</v>
      </c>
      <c r="E5" s="4">
        <v>42814</v>
      </c>
      <c r="F5" t="s">
        <v>48</v>
      </c>
      <c r="G5" t="s">
        <v>49</v>
      </c>
      <c r="H5" t="s">
        <v>50</v>
      </c>
      <c r="I5" t="s">
        <v>51</v>
      </c>
      <c r="J5">
        <v>5</v>
      </c>
      <c r="K5">
        <v>982</v>
      </c>
      <c r="L5">
        <v>2860.64</v>
      </c>
      <c r="M5">
        <v>6326</v>
      </c>
      <c r="N5" t="s">
        <v>36</v>
      </c>
      <c r="O5" t="s">
        <v>27</v>
      </c>
      <c r="P5" t="s">
        <v>52</v>
      </c>
      <c r="Q5">
        <v>34</v>
      </c>
      <c r="R5">
        <v>232.59</v>
      </c>
    </row>
    <row r="6" spans="1:18" x14ac:dyDescent="0.3">
      <c r="A6" t="s">
        <v>53</v>
      </c>
      <c r="B6" t="s">
        <v>54</v>
      </c>
      <c r="C6" t="s">
        <v>31</v>
      </c>
      <c r="D6" t="s">
        <v>32</v>
      </c>
      <c r="E6" s="4">
        <v>45167</v>
      </c>
      <c r="F6" t="s">
        <v>48</v>
      </c>
      <c r="G6" t="s">
        <v>33</v>
      </c>
      <c r="H6" t="s">
        <v>55</v>
      </c>
      <c r="I6" t="s">
        <v>35</v>
      </c>
      <c r="J6">
        <v>7</v>
      </c>
      <c r="K6">
        <v>137</v>
      </c>
      <c r="L6">
        <v>3402.74</v>
      </c>
      <c r="M6">
        <v>20488</v>
      </c>
      <c r="N6" t="s">
        <v>26</v>
      </c>
      <c r="O6" t="s">
        <v>56</v>
      </c>
      <c r="P6" t="s">
        <v>51</v>
      </c>
      <c r="Q6">
        <v>13</v>
      </c>
      <c r="R6">
        <v>187.93</v>
      </c>
    </row>
    <row r="7" spans="1:18" x14ac:dyDescent="0.3">
      <c r="A7" t="s">
        <v>57</v>
      </c>
      <c r="B7" t="s">
        <v>58</v>
      </c>
      <c r="C7" t="s">
        <v>20</v>
      </c>
      <c r="D7" t="s">
        <v>59</v>
      </c>
      <c r="E7" s="4">
        <v>42001</v>
      </c>
      <c r="F7" t="s">
        <v>60</v>
      </c>
      <c r="G7" t="s">
        <v>23</v>
      </c>
      <c r="H7" t="s">
        <v>24</v>
      </c>
      <c r="I7" t="s">
        <v>35</v>
      </c>
      <c r="J7">
        <v>5</v>
      </c>
      <c r="K7">
        <v>715</v>
      </c>
      <c r="L7">
        <v>2151.34</v>
      </c>
      <c r="M7">
        <v>16481</v>
      </c>
      <c r="N7" t="s">
        <v>61</v>
      </c>
      <c r="O7" t="s">
        <v>62</v>
      </c>
      <c r="P7" t="s">
        <v>51</v>
      </c>
      <c r="Q7">
        <v>34</v>
      </c>
      <c r="R7">
        <v>155.53</v>
      </c>
    </row>
    <row r="8" spans="1:18" x14ac:dyDescent="0.3">
      <c r="A8" t="s">
        <v>63</v>
      </c>
      <c r="B8" t="s">
        <v>64</v>
      </c>
      <c r="C8" t="s">
        <v>41</v>
      </c>
      <c r="D8" t="s">
        <v>59</v>
      </c>
      <c r="E8" s="4">
        <v>42028</v>
      </c>
      <c r="F8" t="s">
        <v>65</v>
      </c>
      <c r="G8" t="s">
        <v>49</v>
      </c>
      <c r="H8" t="s">
        <v>34</v>
      </c>
      <c r="I8" t="s">
        <v>34</v>
      </c>
      <c r="J8">
        <v>3</v>
      </c>
      <c r="K8">
        <v>1054</v>
      </c>
      <c r="L8">
        <v>2004.91</v>
      </c>
      <c r="M8">
        <v>41858</v>
      </c>
      <c r="N8" t="s">
        <v>26</v>
      </c>
      <c r="O8" t="s">
        <v>27</v>
      </c>
      <c r="P8" t="s">
        <v>45</v>
      </c>
      <c r="Q8">
        <v>36</v>
      </c>
      <c r="R8">
        <v>145.01</v>
      </c>
    </row>
    <row r="9" spans="1:18" x14ac:dyDescent="0.3">
      <c r="A9" t="s">
        <v>66</v>
      </c>
      <c r="B9" t="s">
        <v>67</v>
      </c>
      <c r="C9" t="s">
        <v>68</v>
      </c>
      <c r="D9" t="s">
        <v>21</v>
      </c>
      <c r="E9" s="4">
        <v>44590</v>
      </c>
      <c r="F9" t="s">
        <v>69</v>
      </c>
      <c r="G9" t="s">
        <v>49</v>
      </c>
      <c r="H9" t="s">
        <v>70</v>
      </c>
      <c r="I9" t="s">
        <v>35</v>
      </c>
      <c r="J9">
        <v>5</v>
      </c>
      <c r="K9">
        <v>515</v>
      </c>
      <c r="L9">
        <v>845.43</v>
      </c>
      <c r="M9">
        <v>49229</v>
      </c>
      <c r="N9" t="s">
        <v>61</v>
      </c>
      <c r="O9" t="s">
        <v>56</v>
      </c>
      <c r="P9" t="s">
        <v>52</v>
      </c>
      <c r="Q9">
        <v>21</v>
      </c>
      <c r="R9">
        <v>214.85</v>
      </c>
    </row>
    <row r="10" spans="1:18" x14ac:dyDescent="0.3">
      <c r="A10" t="s">
        <v>71</v>
      </c>
      <c r="B10" t="s">
        <v>72</v>
      </c>
      <c r="C10" t="s">
        <v>68</v>
      </c>
      <c r="D10" t="s">
        <v>21</v>
      </c>
      <c r="E10" s="4">
        <v>42516</v>
      </c>
      <c r="F10" t="s">
        <v>65</v>
      </c>
      <c r="G10" t="s">
        <v>23</v>
      </c>
      <c r="H10" t="s">
        <v>24</v>
      </c>
      <c r="I10" t="s">
        <v>25</v>
      </c>
      <c r="J10">
        <v>1</v>
      </c>
      <c r="K10">
        <v>1123</v>
      </c>
      <c r="L10">
        <v>1577.72</v>
      </c>
      <c r="M10">
        <v>22060</v>
      </c>
      <c r="N10" t="s">
        <v>36</v>
      </c>
      <c r="O10" t="s">
        <v>62</v>
      </c>
      <c r="P10" t="s">
        <v>25</v>
      </c>
      <c r="Q10">
        <v>29</v>
      </c>
      <c r="R10">
        <v>61.9</v>
      </c>
    </row>
    <row r="11" spans="1:18" x14ac:dyDescent="0.3">
      <c r="A11" t="s">
        <v>73</v>
      </c>
      <c r="B11" t="s">
        <v>74</v>
      </c>
      <c r="C11" t="s">
        <v>31</v>
      </c>
      <c r="D11" t="s">
        <v>21</v>
      </c>
      <c r="E11" s="4">
        <v>43380</v>
      </c>
      <c r="F11" t="s">
        <v>22</v>
      </c>
      <c r="G11" t="s">
        <v>49</v>
      </c>
      <c r="H11" t="s">
        <v>75</v>
      </c>
      <c r="I11" t="s">
        <v>76</v>
      </c>
      <c r="J11">
        <v>5</v>
      </c>
      <c r="K11">
        <v>121</v>
      </c>
      <c r="L11">
        <v>3659.46</v>
      </c>
      <c r="M11">
        <v>48336</v>
      </c>
      <c r="N11" t="s">
        <v>26</v>
      </c>
      <c r="O11" t="s">
        <v>56</v>
      </c>
      <c r="P11" t="s">
        <v>38</v>
      </c>
      <c r="Q11">
        <v>45</v>
      </c>
      <c r="R11">
        <v>244.48</v>
      </c>
    </row>
    <row r="12" spans="1:18" x14ac:dyDescent="0.3">
      <c r="A12" t="s">
        <v>77</v>
      </c>
      <c r="B12" t="s">
        <v>78</v>
      </c>
      <c r="C12" t="s">
        <v>79</v>
      </c>
      <c r="D12" t="s">
        <v>21</v>
      </c>
      <c r="E12" s="4">
        <v>45868</v>
      </c>
      <c r="F12" t="s">
        <v>48</v>
      </c>
      <c r="G12" t="s">
        <v>49</v>
      </c>
      <c r="H12" t="s">
        <v>55</v>
      </c>
      <c r="I12" t="s">
        <v>51</v>
      </c>
      <c r="J12">
        <v>8</v>
      </c>
      <c r="K12">
        <v>1166</v>
      </c>
      <c r="L12">
        <v>2643.26</v>
      </c>
      <c r="M12">
        <v>31940</v>
      </c>
      <c r="N12" t="s">
        <v>26</v>
      </c>
      <c r="O12" t="s">
        <v>27</v>
      </c>
      <c r="P12" t="s">
        <v>25</v>
      </c>
      <c r="Q12">
        <v>40</v>
      </c>
      <c r="R12">
        <v>180.72</v>
      </c>
    </row>
    <row r="13" spans="1:18" x14ac:dyDescent="0.3">
      <c r="A13" t="s">
        <v>80</v>
      </c>
      <c r="B13" t="s">
        <v>81</v>
      </c>
      <c r="C13" t="s">
        <v>31</v>
      </c>
      <c r="D13" t="s">
        <v>82</v>
      </c>
      <c r="E13" s="4">
        <v>41173</v>
      </c>
      <c r="F13" t="s">
        <v>43</v>
      </c>
      <c r="G13" t="s">
        <v>83</v>
      </c>
      <c r="H13" t="s">
        <v>55</v>
      </c>
      <c r="I13" t="s">
        <v>35</v>
      </c>
      <c r="J13">
        <v>0</v>
      </c>
      <c r="K13">
        <v>1109</v>
      </c>
      <c r="L13">
        <v>4365.7</v>
      </c>
      <c r="M13">
        <v>6829</v>
      </c>
      <c r="N13" t="s">
        <v>26</v>
      </c>
      <c r="O13" t="s">
        <v>62</v>
      </c>
      <c r="P13" t="s">
        <v>25</v>
      </c>
      <c r="Q13">
        <v>11</v>
      </c>
      <c r="R13">
        <v>66.47</v>
      </c>
    </row>
    <row r="14" spans="1:18" x14ac:dyDescent="0.3">
      <c r="A14" t="s">
        <v>84</v>
      </c>
      <c r="B14" t="s">
        <v>85</v>
      </c>
      <c r="C14" t="s">
        <v>31</v>
      </c>
      <c r="D14" t="s">
        <v>42</v>
      </c>
      <c r="E14" s="4">
        <v>41031</v>
      </c>
      <c r="F14" t="s">
        <v>65</v>
      </c>
      <c r="G14" t="s">
        <v>44</v>
      </c>
      <c r="H14" t="s">
        <v>50</v>
      </c>
      <c r="I14" t="s">
        <v>35</v>
      </c>
      <c r="J14">
        <v>0</v>
      </c>
      <c r="K14">
        <v>859</v>
      </c>
      <c r="L14">
        <v>4069.75</v>
      </c>
      <c r="M14">
        <v>31797</v>
      </c>
      <c r="N14" t="s">
        <v>26</v>
      </c>
      <c r="O14" t="s">
        <v>56</v>
      </c>
      <c r="P14" t="s">
        <v>38</v>
      </c>
      <c r="Q14">
        <v>3</v>
      </c>
      <c r="R14">
        <v>182.9</v>
      </c>
    </row>
    <row r="15" spans="1:18" x14ac:dyDescent="0.3">
      <c r="A15" t="s">
        <v>86</v>
      </c>
      <c r="B15" t="s">
        <v>87</v>
      </c>
      <c r="C15" t="s">
        <v>68</v>
      </c>
      <c r="D15" t="s">
        <v>21</v>
      </c>
      <c r="E15" s="4">
        <v>40855</v>
      </c>
      <c r="F15" t="s">
        <v>60</v>
      </c>
      <c r="G15" t="s">
        <v>44</v>
      </c>
      <c r="H15" t="s">
        <v>34</v>
      </c>
      <c r="I15" t="s">
        <v>51</v>
      </c>
      <c r="J15">
        <v>2</v>
      </c>
      <c r="K15">
        <v>1161</v>
      </c>
      <c r="L15">
        <v>3994.93</v>
      </c>
      <c r="M15">
        <v>13871</v>
      </c>
      <c r="N15" t="s">
        <v>36</v>
      </c>
      <c r="O15" t="s">
        <v>56</v>
      </c>
      <c r="P15" t="s">
        <v>38</v>
      </c>
      <c r="Q15">
        <v>7</v>
      </c>
      <c r="R15">
        <v>236.69</v>
      </c>
    </row>
    <row r="16" spans="1:18" x14ac:dyDescent="0.3">
      <c r="A16" t="s">
        <v>88</v>
      </c>
      <c r="B16" t="s">
        <v>89</v>
      </c>
      <c r="C16" t="s">
        <v>68</v>
      </c>
      <c r="D16" t="s">
        <v>21</v>
      </c>
      <c r="E16" s="4">
        <v>42719</v>
      </c>
      <c r="F16" t="s">
        <v>48</v>
      </c>
      <c r="G16" t="s">
        <v>49</v>
      </c>
      <c r="H16" t="s">
        <v>50</v>
      </c>
      <c r="I16" t="s">
        <v>51</v>
      </c>
      <c r="J16">
        <v>7</v>
      </c>
      <c r="K16">
        <v>808</v>
      </c>
      <c r="L16">
        <v>3951.57</v>
      </c>
      <c r="M16">
        <v>36775</v>
      </c>
      <c r="N16" t="s">
        <v>61</v>
      </c>
      <c r="O16" t="s">
        <v>27</v>
      </c>
      <c r="P16" t="s">
        <v>52</v>
      </c>
      <c r="Q16">
        <v>30</v>
      </c>
      <c r="R16">
        <v>93.53</v>
      </c>
    </row>
    <row r="17" spans="1:18" x14ac:dyDescent="0.3">
      <c r="A17" t="s">
        <v>90</v>
      </c>
      <c r="B17" t="s">
        <v>91</v>
      </c>
      <c r="C17" t="s">
        <v>41</v>
      </c>
      <c r="D17" t="s">
        <v>32</v>
      </c>
      <c r="E17" s="4">
        <v>46062</v>
      </c>
      <c r="F17" t="s">
        <v>65</v>
      </c>
      <c r="G17" t="s">
        <v>44</v>
      </c>
      <c r="H17" t="s">
        <v>75</v>
      </c>
      <c r="I17" t="s">
        <v>92</v>
      </c>
      <c r="J17">
        <v>8</v>
      </c>
      <c r="K17">
        <v>378</v>
      </c>
      <c r="L17">
        <v>3990.56</v>
      </c>
      <c r="M17">
        <v>4222</v>
      </c>
      <c r="N17" t="s">
        <v>36</v>
      </c>
      <c r="O17" t="s">
        <v>27</v>
      </c>
      <c r="P17" t="s">
        <v>45</v>
      </c>
      <c r="Q17">
        <v>8</v>
      </c>
      <c r="R17">
        <v>142.43</v>
      </c>
    </row>
    <row r="18" spans="1:18" x14ac:dyDescent="0.3">
      <c r="A18" t="s">
        <v>93</v>
      </c>
      <c r="B18" t="s">
        <v>94</v>
      </c>
      <c r="C18" t="s">
        <v>31</v>
      </c>
      <c r="D18" t="s">
        <v>32</v>
      </c>
      <c r="E18" s="4">
        <v>44759</v>
      </c>
      <c r="F18" t="s">
        <v>22</v>
      </c>
      <c r="G18" t="s">
        <v>44</v>
      </c>
      <c r="H18" t="s">
        <v>55</v>
      </c>
      <c r="I18" t="s">
        <v>76</v>
      </c>
      <c r="J18">
        <v>8</v>
      </c>
      <c r="K18">
        <v>1386</v>
      </c>
      <c r="L18">
        <v>4939.37</v>
      </c>
      <c r="M18">
        <v>34580</v>
      </c>
      <c r="N18" t="s">
        <v>36</v>
      </c>
      <c r="O18" t="s">
        <v>56</v>
      </c>
      <c r="P18" t="s">
        <v>52</v>
      </c>
      <c r="Q18">
        <v>30</v>
      </c>
      <c r="R18">
        <v>50.81</v>
      </c>
    </row>
    <row r="19" spans="1:18" x14ac:dyDescent="0.3">
      <c r="A19" t="s">
        <v>95</v>
      </c>
      <c r="B19" t="s">
        <v>96</v>
      </c>
      <c r="C19" t="s">
        <v>97</v>
      </c>
      <c r="D19" t="s">
        <v>21</v>
      </c>
      <c r="E19" s="4">
        <v>43949</v>
      </c>
      <c r="F19" t="s">
        <v>43</v>
      </c>
      <c r="G19" t="s">
        <v>49</v>
      </c>
      <c r="H19" t="s">
        <v>24</v>
      </c>
      <c r="I19" t="s">
        <v>76</v>
      </c>
      <c r="J19">
        <v>7</v>
      </c>
      <c r="K19">
        <v>242</v>
      </c>
      <c r="L19">
        <v>1981.31</v>
      </c>
      <c r="M19">
        <v>48352</v>
      </c>
      <c r="N19" t="s">
        <v>26</v>
      </c>
      <c r="O19" t="s">
        <v>56</v>
      </c>
      <c r="P19" t="s">
        <v>51</v>
      </c>
      <c r="Q19">
        <v>13</v>
      </c>
      <c r="R19">
        <v>186.72</v>
      </c>
    </row>
    <row r="20" spans="1:18" x14ac:dyDescent="0.3">
      <c r="A20" t="s">
        <v>98</v>
      </c>
      <c r="B20" t="s">
        <v>99</v>
      </c>
      <c r="C20" t="s">
        <v>31</v>
      </c>
      <c r="D20" t="s">
        <v>21</v>
      </c>
      <c r="E20" s="4">
        <v>45934</v>
      </c>
      <c r="F20" t="s">
        <v>48</v>
      </c>
      <c r="G20" t="s">
        <v>33</v>
      </c>
      <c r="H20" t="s">
        <v>34</v>
      </c>
      <c r="I20" t="s">
        <v>35</v>
      </c>
      <c r="J20">
        <v>4</v>
      </c>
      <c r="K20">
        <v>1461</v>
      </c>
      <c r="L20">
        <v>3007.79</v>
      </c>
      <c r="M20">
        <v>45333</v>
      </c>
      <c r="N20" t="s">
        <v>36</v>
      </c>
      <c r="O20" t="s">
        <v>62</v>
      </c>
      <c r="P20" t="s">
        <v>28</v>
      </c>
      <c r="Q20">
        <v>3</v>
      </c>
      <c r="R20">
        <v>98.07</v>
      </c>
    </row>
    <row r="21" spans="1:18" x14ac:dyDescent="0.3">
      <c r="A21" t="s">
        <v>100</v>
      </c>
      <c r="B21" t="s">
        <v>101</v>
      </c>
      <c r="C21" t="s">
        <v>68</v>
      </c>
      <c r="D21" t="s">
        <v>21</v>
      </c>
      <c r="E21" s="4">
        <v>44954</v>
      </c>
      <c r="F21" t="s">
        <v>60</v>
      </c>
      <c r="G21" t="s">
        <v>102</v>
      </c>
      <c r="H21" t="s">
        <v>50</v>
      </c>
      <c r="I21" t="s">
        <v>92</v>
      </c>
      <c r="J21">
        <v>0</v>
      </c>
      <c r="K21">
        <v>600</v>
      </c>
      <c r="L21">
        <v>4992.53</v>
      </c>
      <c r="M21">
        <v>27170</v>
      </c>
      <c r="N21" t="s">
        <v>36</v>
      </c>
      <c r="O21" t="s">
        <v>56</v>
      </c>
      <c r="P21" t="s">
        <v>38</v>
      </c>
      <c r="Q21">
        <v>17</v>
      </c>
      <c r="R21">
        <v>210.81</v>
      </c>
    </row>
    <row r="22" spans="1:18" x14ac:dyDescent="0.3">
      <c r="A22" t="s">
        <v>103</v>
      </c>
      <c r="B22" t="s">
        <v>104</v>
      </c>
      <c r="C22" t="s">
        <v>41</v>
      </c>
      <c r="D22" t="s">
        <v>21</v>
      </c>
      <c r="E22" s="4">
        <v>41113</v>
      </c>
      <c r="F22" t="s">
        <v>48</v>
      </c>
      <c r="G22" t="s">
        <v>49</v>
      </c>
      <c r="H22" t="s">
        <v>24</v>
      </c>
      <c r="I22" t="s">
        <v>92</v>
      </c>
      <c r="J22">
        <v>3</v>
      </c>
      <c r="K22">
        <v>39</v>
      </c>
      <c r="L22">
        <v>856.5</v>
      </c>
      <c r="M22">
        <v>2393</v>
      </c>
      <c r="N22" t="s">
        <v>61</v>
      </c>
      <c r="O22" t="s">
        <v>62</v>
      </c>
      <c r="P22" t="s">
        <v>52</v>
      </c>
      <c r="Q22">
        <v>25</v>
      </c>
      <c r="R22">
        <v>30.53</v>
      </c>
    </row>
    <row r="23" spans="1:18" x14ac:dyDescent="0.3">
      <c r="A23" t="s">
        <v>105</v>
      </c>
      <c r="B23" t="s">
        <v>106</v>
      </c>
      <c r="C23" t="s">
        <v>20</v>
      </c>
      <c r="D23" t="s">
        <v>82</v>
      </c>
      <c r="E23" s="4">
        <v>41926</v>
      </c>
      <c r="F23" t="s">
        <v>43</v>
      </c>
      <c r="G23" t="s">
        <v>44</v>
      </c>
      <c r="H23" t="s">
        <v>34</v>
      </c>
      <c r="I23" t="s">
        <v>92</v>
      </c>
      <c r="J23">
        <v>4</v>
      </c>
      <c r="K23">
        <v>644</v>
      </c>
      <c r="L23">
        <v>796.36</v>
      </c>
      <c r="M23">
        <v>47876</v>
      </c>
      <c r="N23" t="s">
        <v>36</v>
      </c>
      <c r="O23" t="s">
        <v>37</v>
      </c>
      <c r="P23" t="s">
        <v>38</v>
      </c>
      <c r="Q23">
        <v>11</v>
      </c>
      <c r="R23">
        <v>214.81</v>
      </c>
    </row>
    <row r="24" spans="1:18" x14ac:dyDescent="0.3">
      <c r="A24" t="s">
        <v>107</v>
      </c>
      <c r="B24" t="s">
        <v>108</v>
      </c>
      <c r="C24" t="s">
        <v>41</v>
      </c>
      <c r="D24" t="s">
        <v>109</v>
      </c>
      <c r="E24" s="4">
        <v>42709</v>
      </c>
      <c r="F24" t="s">
        <v>43</v>
      </c>
      <c r="G24" t="s">
        <v>49</v>
      </c>
      <c r="H24" t="s">
        <v>50</v>
      </c>
      <c r="I24" t="s">
        <v>76</v>
      </c>
      <c r="J24">
        <v>0</v>
      </c>
      <c r="K24">
        <v>1158</v>
      </c>
      <c r="L24">
        <v>1941.73</v>
      </c>
      <c r="M24">
        <v>27723</v>
      </c>
      <c r="N24" t="s">
        <v>61</v>
      </c>
      <c r="O24" t="s">
        <v>37</v>
      </c>
      <c r="P24" t="s">
        <v>28</v>
      </c>
      <c r="Q24">
        <v>38</v>
      </c>
      <c r="R24">
        <v>50.67</v>
      </c>
    </row>
    <row r="25" spans="1:18" x14ac:dyDescent="0.3">
      <c r="A25" t="s">
        <v>110</v>
      </c>
      <c r="B25" t="s">
        <v>111</v>
      </c>
      <c r="C25" t="s">
        <v>79</v>
      </c>
      <c r="D25" t="s">
        <v>82</v>
      </c>
      <c r="E25" s="4">
        <v>41959</v>
      </c>
      <c r="F25" t="s">
        <v>69</v>
      </c>
      <c r="G25" t="s">
        <v>49</v>
      </c>
      <c r="H25" t="s">
        <v>55</v>
      </c>
      <c r="I25" t="s">
        <v>25</v>
      </c>
      <c r="J25">
        <v>1</v>
      </c>
      <c r="K25">
        <v>1458</v>
      </c>
      <c r="L25">
        <v>3292.26</v>
      </c>
      <c r="M25">
        <v>32083</v>
      </c>
      <c r="N25" t="s">
        <v>26</v>
      </c>
      <c r="O25" t="s">
        <v>37</v>
      </c>
      <c r="P25" t="s">
        <v>25</v>
      </c>
      <c r="Q25">
        <v>14</v>
      </c>
      <c r="R25">
        <v>217.1</v>
      </c>
    </row>
    <row r="26" spans="1:18" x14ac:dyDescent="0.3">
      <c r="A26" t="s">
        <v>112</v>
      </c>
      <c r="B26" t="s">
        <v>113</v>
      </c>
      <c r="C26" t="s">
        <v>97</v>
      </c>
      <c r="D26" t="s">
        <v>32</v>
      </c>
      <c r="E26" s="4">
        <v>45776</v>
      </c>
      <c r="F26" t="s">
        <v>43</v>
      </c>
      <c r="G26" t="s">
        <v>49</v>
      </c>
      <c r="H26" t="s">
        <v>34</v>
      </c>
      <c r="I26" t="s">
        <v>51</v>
      </c>
      <c r="J26">
        <v>1</v>
      </c>
      <c r="K26">
        <v>791</v>
      </c>
      <c r="L26">
        <v>3678.5</v>
      </c>
      <c r="M26">
        <v>11456</v>
      </c>
      <c r="N26" t="s">
        <v>36</v>
      </c>
      <c r="O26" t="s">
        <v>56</v>
      </c>
      <c r="P26" t="s">
        <v>25</v>
      </c>
      <c r="Q26">
        <v>49</v>
      </c>
      <c r="R26">
        <v>161.06</v>
      </c>
    </row>
    <row r="27" spans="1:18" x14ac:dyDescent="0.3">
      <c r="A27" t="s">
        <v>114</v>
      </c>
      <c r="B27" t="s">
        <v>115</v>
      </c>
      <c r="C27" t="s">
        <v>116</v>
      </c>
      <c r="D27" t="s">
        <v>59</v>
      </c>
      <c r="E27" s="4">
        <v>41724</v>
      </c>
      <c r="F27" t="s">
        <v>43</v>
      </c>
      <c r="G27" t="s">
        <v>23</v>
      </c>
      <c r="H27" t="s">
        <v>70</v>
      </c>
      <c r="I27" t="s">
        <v>76</v>
      </c>
      <c r="J27">
        <v>2</v>
      </c>
      <c r="K27">
        <v>17</v>
      </c>
      <c r="L27">
        <v>1328.85</v>
      </c>
      <c r="M27">
        <v>18653</v>
      </c>
      <c r="N27" t="s">
        <v>26</v>
      </c>
      <c r="O27" t="s">
        <v>62</v>
      </c>
      <c r="P27" t="s">
        <v>38</v>
      </c>
      <c r="Q27">
        <v>25</v>
      </c>
      <c r="R27">
        <v>243.86</v>
      </c>
    </row>
    <row r="28" spans="1:18" x14ac:dyDescent="0.3">
      <c r="A28" t="s">
        <v>117</v>
      </c>
      <c r="B28" t="s">
        <v>118</v>
      </c>
      <c r="C28" t="s">
        <v>68</v>
      </c>
      <c r="D28" t="s">
        <v>21</v>
      </c>
      <c r="E28" s="4">
        <v>40689</v>
      </c>
      <c r="F28" t="s">
        <v>69</v>
      </c>
      <c r="G28" t="s">
        <v>49</v>
      </c>
      <c r="H28" t="s">
        <v>34</v>
      </c>
      <c r="I28" t="s">
        <v>34</v>
      </c>
      <c r="J28">
        <v>4</v>
      </c>
      <c r="K28">
        <v>355</v>
      </c>
      <c r="L28">
        <v>529.13</v>
      </c>
      <c r="M28">
        <v>12303</v>
      </c>
      <c r="N28" t="s">
        <v>36</v>
      </c>
      <c r="O28" t="s">
        <v>27</v>
      </c>
      <c r="P28" t="s">
        <v>28</v>
      </c>
      <c r="Q28">
        <v>15</v>
      </c>
      <c r="R28">
        <v>157.94999999999999</v>
      </c>
    </row>
    <row r="29" spans="1:18" x14ac:dyDescent="0.3">
      <c r="A29" t="s">
        <v>119</v>
      </c>
      <c r="B29" t="s">
        <v>120</v>
      </c>
      <c r="C29" t="s">
        <v>116</v>
      </c>
      <c r="D29" t="s">
        <v>42</v>
      </c>
      <c r="E29" s="4">
        <v>44286</v>
      </c>
      <c r="F29" t="s">
        <v>65</v>
      </c>
      <c r="G29" t="s">
        <v>44</v>
      </c>
      <c r="H29" t="s">
        <v>70</v>
      </c>
      <c r="I29" t="s">
        <v>51</v>
      </c>
      <c r="J29">
        <v>1</v>
      </c>
      <c r="K29">
        <v>948</v>
      </c>
      <c r="L29">
        <v>2495.58</v>
      </c>
      <c r="M29">
        <v>42761</v>
      </c>
      <c r="N29" t="s">
        <v>26</v>
      </c>
      <c r="O29" t="s">
        <v>62</v>
      </c>
      <c r="P29" t="s">
        <v>28</v>
      </c>
      <c r="Q29">
        <v>12</v>
      </c>
      <c r="R29">
        <v>12.53</v>
      </c>
    </row>
    <row r="30" spans="1:18" x14ac:dyDescent="0.3">
      <c r="A30" t="s">
        <v>121</v>
      </c>
      <c r="B30" t="s">
        <v>122</v>
      </c>
      <c r="C30" t="s">
        <v>68</v>
      </c>
      <c r="D30" t="s">
        <v>42</v>
      </c>
      <c r="E30" s="4">
        <v>43956</v>
      </c>
      <c r="F30" t="s">
        <v>48</v>
      </c>
      <c r="G30" t="s">
        <v>33</v>
      </c>
      <c r="H30" t="s">
        <v>70</v>
      </c>
      <c r="I30" t="s">
        <v>25</v>
      </c>
      <c r="J30">
        <v>8</v>
      </c>
      <c r="K30">
        <v>1080</v>
      </c>
      <c r="L30">
        <v>4024.85</v>
      </c>
      <c r="M30">
        <v>39678</v>
      </c>
      <c r="N30" t="s">
        <v>36</v>
      </c>
      <c r="O30" t="s">
        <v>62</v>
      </c>
      <c r="P30" t="s">
        <v>52</v>
      </c>
      <c r="Q30">
        <v>49</v>
      </c>
      <c r="R30">
        <v>36.9</v>
      </c>
    </row>
    <row r="31" spans="1:18" x14ac:dyDescent="0.3">
      <c r="A31" t="s">
        <v>123</v>
      </c>
      <c r="B31" t="s">
        <v>124</v>
      </c>
      <c r="C31" t="s">
        <v>41</v>
      </c>
      <c r="D31" t="s">
        <v>59</v>
      </c>
      <c r="E31" s="4">
        <v>45401</v>
      </c>
      <c r="F31" t="s">
        <v>48</v>
      </c>
      <c r="G31" t="s">
        <v>49</v>
      </c>
      <c r="H31" t="s">
        <v>75</v>
      </c>
      <c r="I31" t="s">
        <v>34</v>
      </c>
      <c r="J31">
        <v>0</v>
      </c>
      <c r="K31">
        <v>148</v>
      </c>
      <c r="L31">
        <v>1420.4</v>
      </c>
      <c r="M31">
        <v>34835</v>
      </c>
      <c r="N31" t="s">
        <v>26</v>
      </c>
      <c r="O31" t="s">
        <v>56</v>
      </c>
      <c r="P31" t="s">
        <v>28</v>
      </c>
      <c r="Q31">
        <v>15</v>
      </c>
      <c r="R31">
        <v>177.25</v>
      </c>
    </row>
    <row r="32" spans="1:18" x14ac:dyDescent="0.3">
      <c r="A32" t="s">
        <v>125</v>
      </c>
      <c r="B32" t="s">
        <v>126</v>
      </c>
      <c r="C32" t="s">
        <v>79</v>
      </c>
      <c r="D32" t="s">
        <v>59</v>
      </c>
      <c r="E32" s="4">
        <v>40473</v>
      </c>
      <c r="F32" t="s">
        <v>69</v>
      </c>
      <c r="G32" t="s">
        <v>33</v>
      </c>
      <c r="H32" t="s">
        <v>50</v>
      </c>
      <c r="I32" t="s">
        <v>25</v>
      </c>
      <c r="J32">
        <v>5</v>
      </c>
      <c r="K32">
        <v>1448</v>
      </c>
      <c r="L32">
        <v>3128.82</v>
      </c>
      <c r="M32">
        <v>18364</v>
      </c>
      <c r="N32" t="s">
        <v>36</v>
      </c>
      <c r="O32" t="s">
        <v>37</v>
      </c>
      <c r="P32" t="s">
        <v>25</v>
      </c>
      <c r="Q32">
        <v>39</v>
      </c>
      <c r="R32">
        <v>93.46</v>
      </c>
    </row>
    <row r="33" spans="1:18" x14ac:dyDescent="0.3">
      <c r="A33" t="s">
        <v>127</v>
      </c>
      <c r="B33" t="s">
        <v>128</v>
      </c>
      <c r="C33" t="s">
        <v>97</v>
      </c>
      <c r="D33" t="s">
        <v>21</v>
      </c>
      <c r="E33" s="4">
        <v>44297</v>
      </c>
      <c r="F33" t="s">
        <v>22</v>
      </c>
      <c r="G33" t="s">
        <v>33</v>
      </c>
      <c r="H33" t="s">
        <v>75</v>
      </c>
      <c r="I33" t="s">
        <v>34</v>
      </c>
      <c r="J33">
        <v>7</v>
      </c>
      <c r="K33">
        <v>428</v>
      </c>
      <c r="L33">
        <v>4759.07</v>
      </c>
      <c r="M33">
        <v>4774</v>
      </c>
      <c r="N33" t="s">
        <v>61</v>
      </c>
      <c r="O33" t="s">
        <v>37</v>
      </c>
      <c r="P33" t="s">
        <v>52</v>
      </c>
      <c r="Q33">
        <v>18</v>
      </c>
      <c r="R33">
        <v>88.33</v>
      </c>
    </row>
    <row r="34" spans="1:18" x14ac:dyDescent="0.3">
      <c r="A34" t="s">
        <v>129</v>
      </c>
      <c r="B34" t="s">
        <v>130</v>
      </c>
      <c r="C34" t="s">
        <v>116</v>
      </c>
      <c r="D34" t="s">
        <v>109</v>
      </c>
      <c r="E34" s="4">
        <v>42620</v>
      </c>
      <c r="F34" t="s">
        <v>43</v>
      </c>
      <c r="G34" t="s">
        <v>44</v>
      </c>
      <c r="H34" t="s">
        <v>75</v>
      </c>
      <c r="I34" t="s">
        <v>76</v>
      </c>
      <c r="J34">
        <v>0</v>
      </c>
      <c r="K34">
        <v>888</v>
      </c>
      <c r="L34">
        <v>881.28</v>
      </c>
      <c r="M34">
        <v>20650</v>
      </c>
      <c r="N34" t="s">
        <v>61</v>
      </c>
      <c r="O34" t="s">
        <v>37</v>
      </c>
      <c r="P34" t="s">
        <v>28</v>
      </c>
      <c r="Q34">
        <v>20</v>
      </c>
      <c r="R34">
        <v>36.21</v>
      </c>
    </row>
    <row r="35" spans="1:18" x14ac:dyDescent="0.3">
      <c r="A35" t="s">
        <v>131</v>
      </c>
      <c r="B35" t="s">
        <v>132</v>
      </c>
      <c r="C35" t="s">
        <v>79</v>
      </c>
      <c r="D35" t="s">
        <v>42</v>
      </c>
      <c r="E35" s="4">
        <v>44273</v>
      </c>
      <c r="F35" t="s">
        <v>48</v>
      </c>
      <c r="G35" t="s">
        <v>49</v>
      </c>
      <c r="H35" t="s">
        <v>50</v>
      </c>
      <c r="I35" t="s">
        <v>51</v>
      </c>
      <c r="J35">
        <v>7</v>
      </c>
      <c r="K35">
        <v>371</v>
      </c>
      <c r="L35">
        <v>729.64</v>
      </c>
      <c r="M35">
        <v>16058</v>
      </c>
      <c r="N35" t="s">
        <v>36</v>
      </c>
      <c r="O35" t="s">
        <v>37</v>
      </c>
      <c r="P35" t="s">
        <v>52</v>
      </c>
      <c r="Q35">
        <v>11</v>
      </c>
      <c r="R35">
        <v>36.299999999999997</v>
      </c>
    </row>
    <row r="36" spans="1:18" x14ac:dyDescent="0.3">
      <c r="A36" t="s">
        <v>133</v>
      </c>
      <c r="B36" t="s">
        <v>134</v>
      </c>
      <c r="C36" t="s">
        <v>116</v>
      </c>
      <c r="D36" t="s">
        <v>32</v>
      </c>
      <c r="E36" s="4">
        <v>43386</v>
      </c>
      <c r="F36" t="s">
        <v>43</v>
      </c>
      <c r="G36" t="s">
        <v>23</v>
      </c>
      <c r="H36" t="s">
        <v>34</v>
      </c>
      <c r="I36" t="s">
        <v>51</v>
      </c>
      <c r="J36">
        <v>8</v>
      </c>
      <c r="K36">
        <v>1012</v>
      </c>
      <c r="L36">
        <v>4842.97</v>
      </c>
      <c r="M36">
        <v>30956</v>
      </c>
      <c r="N36" t="s">
        <v>61</v>
      </c>
      <c r="O36" t="s">
        <v>37</v>
      </c>
      <c r="P36" t="s">
        <v>52</v>
      </c>
      <c r="Q36">
        <v>3</v>
      </c>
      <c r="R36">
        <v>4.76</v>
      </c>
    </row>
    <row r="37" spans="1:18" x14ac:dyDescent="0.3">
      <c r="A37" t="s">
        <v>135</v>
      </c>
      <c r="B37" t="s">
        <v>136</v>
      </c>
      <c r="C37" t="s">
        <v>68</v>
      </c>
      <c r="D37" t="s">
        <v>109</v>
      </c>
      <c r="E37" s="4">
        <v>44987</v>
      </c>
      <c r="F37" t="s">
        <v>48</v>
      </c>
      <c r="G37" t="s">
        <v>49</v>
      </c>
      <c r="H37" t="s">
        <v>70</v>
      </c>
      <c r="I37" t="s">
        <v>92</v>
      </c>
      <c r="J37">
        <v>8</v>
      </c>
      <c r="K37">
        <v>436</v>
      </c>
      <c r="L37">
        <v>1133.05</v>
      </c>
      <c r="M37">
        <v>13097</v>
      </c>
      <c r="N37" t="s">
        <v>26</v>
      </c>
      <c r="O37" t="s">
        <v>27</v>
      </c>
      <c r="P37" t="s">
        <v>28</v>
      </c>
      <c r="Q37">
        <v>14</v>
      </c>
      <c r="R37">
        <v>45.02</v>
      </c>
    </row>
    <row r="38" spans="1:18" x14ac:dyDescent="0.3">
      <c r="A38" t="s">
        <v>137</v>
      </c>
      <c r="B38" t="s">
        <v>138</v>
      </c>
      <c r="C38" t="s">
        <v>97</v>
      </c>
      <c r="D38" t="s">
        <v>82</v>
      </c>
      <c r="E38" s="4">
        <v>43408</v>
      </c>
      <c r="F38" t="s">
        <v>48</v>
      </c>
      <c r="G38" t="s">
        <v>44</v>
      </c>
      <c r="H38" t="s">
        <v>75</v>
      </c>
      <c r="I38" t="s">
        <v>35</v>
      </c>
      <c r="J38">
        <v>8</v>
      </c>
      <c r="K38">
        <v>382</v>
      </c>
      <c r="L38">
        <v>3960.91</v>
      </c>
      <c r="M38">
        <v>18171</v>
      </c>
      <c r="N38" t="s">
        <v>26</v>
      </c>
      <c r="O38" t="s">
        <v>62</v>
      </c>
      <c r="P38" t="s">
        <v>25</v>
      </c>
      <c r="Q38">
        <v>27</v>
      </c>
      <c r="R38">
        <v>170.2</v>
      </c>
    </row>
    <row r="39" spans="1:18" x14ac:dyDescent="0.3">
      <c r="A39" t="s">
        <v>139</v>
      </c>
      <c r="B39" t="s">
        <v>140</v>
      </c>
      <c r="C39" t="s">
        <v>97</v>
      </c>
      <c r="D39" t="s">
        <v>21</v>
      </c>
      <c r="E39" s="4">
        <v>43202</v>
      </c>
      <c r="F39" t="s">
        <v>69</v>
      </c>
      <c r="G39" t="s">
        <v>33</v>
      </c>
      <c r="H39" t="s">
        <v>50</v>
      </c>
      <c r="I39" t="s">
        <v>25</v>
      </c>
      <c r="J39">
        <v>4</v>
      </c>
      <c r="K39">
        <v>446</v>
      </c>
      <c r="L39">
        <v>3185.1</v>
      </c>
      <c r="M39">
        <v>19697</v>
      </c>
      <c r="N39" t="s">
        <v>61</v>
      </c>
      <c r="O39" t="s">
        <v>37</v>
      </c>
      <c r="P39" t="s">
        <v>25</v>
      </c>
      <c r="Q39">
        <v>4</v>
      </c>
      <c r="R39">
        <v>29.49</v>
      </c>
    </row>
    <row r="40" spans="1:18" x14ac:dyDescent="0.3">
      <c r="A40" t="s">
        <v>141</v>
      </c>
      <c r="B40" t="s">
        <v>142</v>
      </c>
      <c r="C40" t="s">
        <v>116</v>
      </c>
      <c r="D40" t="s">
        <v>21</v>
      </c>
      <c r="E40" s="4">
        <v>44547</v>
      </c>
      <c r="F40" t="s">
        <v>22</v>
      </c>
      <c r="G40" t="s">
        <v>102</v>
      </c>
      <c r="H40" t="s">
        <v>50</v>
      </c>
      <c r="I40" t="s">
        <v>92</v>
      </c>
      <c r="J40">
        <v>6</v>
      </c>
      <c r="K40">
        <v>963</v>
      </c>
      <c r="L40">
        <v>4902.8500000000004</v>
      </c>
      <c r="M40">
        <v>24472</v>
      </c>
      <c r="N40" t="s">
        <v>36</v>
      </c>
      <c r="O40" t="s">
        <v>56</v>
      </c>
      <c r="P40" t="s">
        <v>25</v>
      </c>
      <c r="Q40">
        <v>30</v>
      </c>
      <c r="R40">
        <v>199.62</v>
      </c>
    </row>
    <row r="41" spans="1:18" x14ac:dyDescent="0.3">
      <c r="A41" t="s">
        <v>143</v>
      </c>
      <c r="B41" t="s">
        <v>144</v>
      </c>
      <c r="C41" t="s">
        <v>97</v>
      </c>
      <c r="D41" t="s">
        <v>109</v>
      </c>
      <c r="E41" s="4">
        <v>40398</v>
      </c>
      <c r="F41" t="s">
        <v>60</v>
      </c>
      <c r="G41" t="s">
        <v>23</v>
      </c>
      <c r="H41" t="s">
        <v>24</v>
      </c>
      <c r="I41" t="s">
        <v>92</v>
      </c>
      <c r="J41">
        <v>7</v>
      </c>
      <c r="K41">
        <v>1001</v>
      </c>
      <c r="L41">
        <v>2915.75</v>
      </c>
      <c r="M41">
        <v>1366</v>
      </c>
      <c r="N41" t="s">
        <v>61</v>
      </c>
      <c r="O41" t="s">
        <v>56</v>
      </c>
      <c r="P41" t="s">
        <v>51</v>
      </c>
      <c r="Q41">
        <v>19</v>
      </c>
      <c r="R41">
        <v>238.95</v>
      </c>
    </row>
    <row r="42" spans="1:18" x14ac:dyDescent="0.3">
      <c r="A42" t="s">
        <v>145</v>
      </c>
      <c r="B42" t="s">
        <v>146</v>
      </c>
      <c r="C42" t="s">
        <v>116</v>
      </c>
      <c r="D42" t="s">
        <v>59</v>
      </c>
      <c r="E42" s="4">
        <v>41665</v>
      </c>
      <c r="F42" t="s">
        <v>69</v>
      </c>
      <c r="G42" t="s">
        <v>23</v>
      </c>
      <c r="H42" t="s">
        <v>34</v>
      </c>
      <c r="I42" t="s">
        <v>35</v>
      </c>
      <c r="J42">
        <v>1</v>
      </c>
      <c r="K42">
        <v>1151</v>
      </c>
      <c r="L42">
        <v>4501.57</v>
      </c>
      <c r="M42">
        <v>31441</v>
      </c>
      <c r="N42" t="s">
        <v>36</v>
      </c>
      <c r="O42" t="s">
        <v>37</v>
      </c>
      <c r="P42" t="s">
        <v>25</v>
      </c>
      <c r="Q42">
        <v>15</v>
      </c>
      <c r="R42">
        <v>103.96</v>
      </c>
    </row>
    <row r="43" spans="1:18" x14ac:dyDescent="0.3">
      <c r="A43" t="s">
        <v>147</v>
      </c>
      <c r="B43" t="s">
        <v>148</v>
      </c>
      <c r="C43" t="s">
        <v>116</v>
      </c>
      <c r="D43" t="s">
        <v>21</v>
      </c>
      <c r="E43" s="4">
        <v>44646</v>
      </c>
      <c r="F43" t="s">
        <v>48</v>
      </c>
      <c r="G43" t="s">
        <v>23</v>
      </c>
      <c r="H43" t="s">
        <v>24</v>
      </c>
      <c r="I43" t="s">
        <v>92</v>
      </c>
      <c r="J43">
        <v>7</v>
      </c>
      <c r="K43">
        <v>763</v>
      </c>
      <c r="L43">
        <v>1605.01</v>
      </c>
      <c r="M43">
        <v>46293</v>
      </c>
      <c r="N43" t="s">
        <v>26</v>
      </c>
      <c r="O43" t="s">
        <v>56</v>
      </c>
      <c r="P43" t="s">
        <v>51</v>
      </c>
      <c r="Q43">
        <v>15</v>
      </c>
      <c r="R43">
        <v>227.77</v>
      </c>
    </row>
    <row r="44" spans="1:18" x14ac:dyDescent="0.3">
      <c r="A44" t="s">
        <v>149</v>
      </c>
      <c r="B44" t="s">
        <v>150</v>
      </c>
      <c r="C44" t="s">
        <v>68</v>
      </c>
      <c r="D44" t="s">
        <v>109</v>
      </c>
      <c r="E44" s="4">
        <v>40594</v>
      </c>
      <c r="F44" t="s">
        <v>22</v>
      </c>
      <c r="G44" t="s">
        <v>83</v>
      </c>
      <c r="H44" t="s">
        <v>75</v>
      </c>
      <c r="I44" t="s">
        <v>92</v>
      </c>
      <c r="J44">
        <v>6</v>
      </c>
      <c r="K44">
        <v>916</v>
      </c>
      <c r="L44">
        <v>2546.5300000000002</v>
      </c>
      <c r="M44">
        <v>7624</v>
      </c>
      <c r="N44" t="s">
        <v>26</v>
      </c>
      <c r="O44" t="s">
        <v>37</v>
      </c>
      <c r="P44" t="s">
        <v>25</v>
      </c>
      <c r="Q44">
        <v>34</v>
      </c>
      <c r="R44">
        <v>40.46</v>
      </c>
    </row>
    <row r="45" spans="1:18" x14ac:dyDescent="0.3">
      <c r="A45" t="s">
        <v>151</v>
      </c>
      <c r="B45" t="s">
        <v>152</v>
      </c>
      <c r="C45" t="s">
        <v>20</v>
      </c>
      <c r="D45" t="s">
        <v>32</v>
      </c>
      <c r="E45" s="4">
        <v>42527</v>
      </c>
      <c r="F45" t="s">
        <v>65</v>
      </c>
      <c r="G45" t="s">
        <v>83</v>
      </c>
      <c r="H45" t="s">
        <v>55</v>
      </c>
      <c r="I45" t="s">
        <v>92</v>
      </c>
      <c r="J45">
        <v>7</v>
      </c>
      <c r="K45">
        <v>1013</v>
      </c>
      <c r="L45">
        <v>3030.64</v>
      </c>
      <c r="M45">
        <v>32330</v>
      </c>
      <c r="N45" t="s">
        <v>61</v>
      </c>
      <c r="O45" t="s">
        <v>27</v>
      </c>
      <c r="P45" t="s">
        <v>38</v>
      </c>
      <c r="Q45">
        <v>14</v>
      </c>
      <c r="R45">
        <v>148.93</v>
      </c>
    </row>
    <row r="46" spans="1:18" x14ac:dyDescent="0.3">
      <c r="A46" t="s">
        <v>153</v>
      </c>
      <c r="B46" t="s">
        <v>154</v>
      </c>
      <c r="C46" t="s">
        <v>97</v>
      </c>
      <c r="D46" t="s">
        <v>109</v>
      </c>
      <c r="E46" s="4">
        <v>42162</v>
      </c>
      <c r="F46" t="s">
        <v>43</v>
      </c>
      <c r="G46" t="s">
        <v>83</v>
      </c>
      <c r="H46" t="s">
        <v>75</v>
      </c>
      <c r="I46" t="s">
        <v>92</v>
      </c>
      <c r="J46">
        <v>3</v>
      </c>
      <c r="K46">
        <v>1230</v>
      </c>
      <c r="L46">
        <v>1230.42</v>
      </c>
      <c r="M46">
        <v>29791</v>
      </c>
      <c r="N46" t="s">
        <v>26</v>
      </c>
      <c r="O46" t="s">
        <v>27</v>
      </c>
      <c r="P46" t="s">
        <v>28</v>
      </c>
      <c r="Q46">
        <v>20</v>
      </c>
      <c r="R46">
        <v>167.71</v>
      </c>
    </row>
    <row r="47" spans="1:18" x14ac:dyDescent="0.3">
      <c r="A47" t="s">
        <v>155</v>
      </c>
      <c r="B47" t="s">
        <v>156</v>
      </c>
      <c r="C47" t="s">
        <v>97</v>
      </c>
      <c r="D47" t="s">
        <v>42</v>
      </c>
      <c r="E47" s="4">
        <v>43128</v>
      </c>
      <c r="F47" t="s">
        <v>48</v>
      </c>
      <c r="G47" t="s">
        <v>44</v>
      </c>
      <c r="H47" t="s">
        <v>50</v>
      </c>
      <c r="I47" t="s">
        <v>51</v>
      </c>
      <c r="J47">
        <v>2</v>
      </c>
      <c r="K47">
        <v>835</v>
      </c>
      <c r="L47">
        <v>1713.91</v>
      </c>
      <c r="M47">
        <v>35396</v>
      </c>
      <c r="N47" t="s">
        <v>36</v>
      </c>
      <c r="O47" t="s">
        <v>62</v>
      </c>
      <c r="P47" t="s">
        <v>28</v>
      </c>
      <c r="Q47">
        <v>9</v>
      </c>
      <c r="R47">
        <v>39.39</v>
      </c>
    </row>
    <row r="48" spans="1:18" x14ac:dyDescent="0.3">
      <c r="A48" t="s">
        <v>157</v>
      </c>
      <c r="B48" t="s">
        <v>158</v>
      </c>
      <c r="C48" t="s">
        <v>68</v>
      </c>
      <c r="D48" t="s">
        <v>32</v>
      </c>
      <c r="E48" s="4">
        <v>46083</v>
      </c>
      <c r="F48" t="s">
        <v>69</v>
      </c>
      <c r="G48" t="s">
        <v>33</v>
      </c>
      <c r="H48" t="s">
        <v>55</v>
      </c>
      <c r="I48" t="s">
        <v>51</v>
      </c>
      <c r="J48">
        <v>7</v>
      </c>
      <c r="K48">
        <v>938</v>
      </c>
      <c r="L48">
        <v>3042.83</v>
      </c>
      <c r="M48">
        <v>5215</v>
      </c>
      <c r="N48" t="s">
        <v>36</v>
      </c>
      <c r="O48" t="s">
        <v>62</v>
      </c>
      <c r="P48" t="s">
        <v>38</v>
      </c>
      <c r="Q48">
        <v>36</v>
      </c>
      <c r="R48">
        <v>231.98</v>
      </c>
    </row>
    <row r="49" spans="1:18" x14ac:dyDescent="0.3">
      <c r="A49" t="s">
        <v>159</v>
      </c>
      <c r="B49" t="s">
        <v>160</v>
      </c>
      <c r="C49" t="s">
        <v>41</v>
      </c>
      <c r="D49" t="s">
        <v>32</v>
      </c>
      <c r="E49" s="4">
        <v>43615</v>
      </c>
      <c r="F49" t="s">
        <v>43</v>
      </c>
      <c r="G49" t="s">
        <v>23</v>
      </c>
      <c r="H49" t="s">
        <v>55</v>
      </c>
      <c r="I49" t="s">
        <v>76</v>
      </c>
      <c r="J49">
        <v>6</v>
      </c>
      <c r="K49">
        <v>528</v>
      </c>
      <c r="L49">
        <v>2697.13</v>
      </c>
      <c r="M49">
        <v>20542</v>
      </c>
      <c r="N49" t="s">
        <v>61</v>
      </c>
      <c r="O49" t="s">
        <v>62</v>
      </c>
      <c r="P49" t="s">
        <v>52</v>
      </c>
      <c r="Q49">
        <v>48</v>
      </c>
      <c r="R49">
        <v>218.24</v>
      </c>
    </row>
    <row r="50" spans="1:18" x14ac:dyDescent="0.3">
      <c r="A50" t="s">
        <v>161</v>
      </c>
      <c r="B50" t="s">
        <v>162</v>
      </c>
      <c r="C50" t="s">
        <v>41</v>
      </c>
      <c r="D50" t="s">
        <v>42</v>
      </c>
      <c r="E50" s="4">
        <v>40418</v>
      </c>
      <c r="F50" t="s">
        <v>65</v>
      </c>
      <c r="G50" t="s">
        <v>83</v>
      </c>
      <c r="H50" t="s">
        <v>55</v>
      </c>
      <c r="I50" t="s">
        <v>25</v>
      </c>
      <c r="J50">
        <v>2</v>
      </c>
      <c r="K50">
        <v>207</v>
      </c>
      <c r="L50">
        <v>4121.3599999999997</v>
      </c>
      <c r="M50">
        <v>11370</v>
      </c>
      <c r="N50" t="s">
        <v>36</v>
      </c>
      <c r="O50" t="s">
        <v>62</v>
      </c>
      <c r="P50" t="s">
        <v>45</v>
      </c>
      <c r="Q50">
        <v>15</v>
      </c>
      <c r="R50">
        <v>20.51</v>
      </c>
    </row>
    <row r="51" spans="1:18" x14ac:dyDescent="0.3">
      <c r="A51" t="s">
        <v>163</v>
      </c>
      <c r="B51" t="s">
        <v>164</v>
      </c>
      <c r="C51" t="s">
        <v>20</v>
      </c>
      <c r="D51" t="s">
        <v>42</v>
      </c>
      <c r="E51" s="4">
        <v>44751</v>
      </c>
      <c r="F51" t="s">
        <v>43</v>
      </c>
      <c r="G51" t="s">
        <v>44</v>
      </c>
      <c r="H51" t="s">
        <v>75</v>
      </c>
      <c r="I51" t="s">
        <v>76</v>
      </c>
      <c r="J51">
        <v>8</v>
      </c>
      <c r="K51">
        <v>761</v>
      </c>
      <c r="L51">
        <v>153.28</v>
      </c>
      <c r="M51">
        <v>35084</v>
      </c>
      <c r="N51" t="s">
        <v>36</v>
      </c>
      <c r="O51" t="s">
        <v>37</v>
      </c>
      <c r="P51" t="s">
        <v>25</v>
      </c>
      <c r="Q51">
        <v>15</v>
      </c>
      <c r="R51">
        <v>209.73</v>
      </c>
    </row>
    <row r="52" spans="1:18" x14ac:dyDescent="0.3">
      <c r="A52" t="s">
        <v>165</v>
      </c>
      <c r="B52" t="s">
        <v>166</v>
      </c>
      <c r="C52" t="s">
        <v>116</v>
      </c>
      <c r="D52" t="s">
        <v>82</v>
      </c>
      <c r="E52" s="4">
        <v>42096</v>
      </c>
      <c r="F52" t="s">
        <v>48</v>
      </c>
      <c r="G52" t="s">
        <v>83</v>
      </c>
      <c r="H52" t="s">
        <v>24</v>
      </c>
      <c r="I52" t="s">
        <v>51</v>
      </c>
      <c r="J52">
        <v>4</v>
      </c>
      <c r="K52">
        <v>911</v>
      </c>
      <c r="L52">
        <v>322.36</v>
      </c>
      <c r="M52">
        <v>29344</v>
      </c>
      <c r="N52" t="s">
        <v>61</v>
      </c>
      <c r="O52" t="s">
        <v>37</v>
      </c>
      <c r="P52" t="s">
        <v>38</v>
      </c>
      <c r="Q52">
        <v>29</v>
      </c>
      <c r="R52">
        <v>20.71</v>
      </c>
    </row>
    <row r="53" spans="1:18" x14ac:dyDescent="0.3">
      <c r="A53" t="s">
        <v>167</v>
      </c>
      <c r="B53" t="s">
        <v>168</v>
      </c>
      <c r="C53" t="s">
        <v>79</v>
      </c>
      <c r="D53" t="s">
        <v>109</v>
      </c>
      <c r="E53" s="4">
        <v>44305</v>
      </c>
      <c r="F53" t="s">
        <v>65</v>
      </c>
      <c r="G53" t="s">
        <v>44</v>
      </c>
      <c r="H53" t="s">
        <v>55</v>
      </c>
      <c r="I53" t="s">
        <v>51</v>
      </c>
      <c r="J53">
        <v>8</v>
      </c>
      <c r="K53">
        <v>1333</v>
      </c>
      <c r="L53">
        <v>168.76</v>
      </c>
      <c r="M53">
        <v>45366</v>
      </c>
      <c r="N53" t="s">
        <v>26</v>
      </c>
      <c r="O53" t="s">
        <v>37</v>
      </c>
      <c r="P53" t="s">
        <v>45</v>
      </c>
      <c r="Q53">
        <v>49</v>
      </c>
      <c r="R53">
        <v>73.349999999999994</v>
      </c>
    </row>
    <row r="54" spans="1:18" x14ac:dyDescent="0.3">
      <c r="A54" t="s">
        <v>169</v>
      </c>
      <c r="B54" t="s">
        <v>170</v>
      </c>
      <c r="C54" t="s">
        <v>97</v>
      </c>
      <c r="D54" t="s">
        <v>109</v>
      </c>
      <c r="E54" s="4">
        <v>45508</v>
      </c>
      <c r="F54" t="s">
        <v>65</v>
      </c>
      <c r="G54" t="s">
        <v>49</v>
      </c>
      <c r="H54" t="s">
        <v>34</v>
      </c>
      <c r="I54" t="s">
        <v>25</v>
      </c>
      <c r="J54">
        <v>7</v>
      </c>
      <c r="K54">
        <v>1139</v>
      </c>
      <c r="L54">
        <v>3103.56</v>
      </c>
      <c r="M54">
        <v>3971</v>
      </c>
      <c r="N54" t="s">
        <v>36</v>
      </c>
      <c r="O54" t="s">
        <v>37</v>
      </c>
      <c r="P54" t="s">
        <v>28</v>
      </c>
      <c r="Q54">
        <v>24</v>
      </c>
      <c r="R54">
        <v>74.53</v>
      </c>
    </row>
    <row r="55" spans="1:18" x14ac:dyDescent="0.3">
      <c r="A55" t="s">
        <v>171</v>
      </c>
      <c r="B55" t="s">
        <v>172</v>
      </c>
      <c r="C55" t="s">
        <v>79</v>
      </c>
      <c r="D55" t="s">
        <v>59</v>
      </c>
      <c r="E55" s="4">
        <v>41546</v>
      </c>
      <c r="F55" t="s">
        <v>22</v>
      </c>
      <c r="G55" t="s">
        <v>23</v>
      </c>
      <c r="H55" t="s">
        <v>55</v>
      </c>
      <c r="I55" t="s">
        <v>76</v>
      </c>
      <c r="J55">
        <v>8</v>
      </c>
      <c r="K55">
        <v>962</v>
      </c>
      <c r="L55">
        <v>2668.62</v>
      </c>
      <c r="M55">
        <v>31108</v>
      </c>
      <c r="N55" t="s">
        <v>36</v>
      </c>
      <c r="O55" t="s">
        <v>62</v>
      </c>
      <c r="P55" t="s">
        <v>25</v>
      </c>
      <c r="Q55">
        <v>37</v>
      </c>
      <c r="R55">
        <v>211.79</v>
      </c>
    </row>
    <row r="56" spans="1:18" x14ac:dyDescent="0.3">
      <c r="A56" t="s">
        <v>173</v>
      </c>
      <c r="B56" t="s">
        <v>174</v>
      </c>
      <c r="C56" t="s">
        <v>79</v>
      </c>
      <c r="D56" t="s">
        <v>42</v>
      </c>
      <c r="E56" s="4">
        <v>40602</v>
      </c>
      <c r="F56" t="s">
        <v>65</v>
      </c>
      <c r="G56" t="s">
        <v>49</v>
      </c>
      <c r="H56" t="s">
        <v>50</v>
      </c>
      <c r="I56" t="s">
        <v>92</v>
      </c>
      <c r="J56">
        <v>7</v>
      </c>
      <c r="K56">
        <v>29</v>
      </c>
      <c r="L56">
        <v>3842.9</v>
      </c>
      <c r="M56">
        <v>9223</v>
      </c>
      <c r="N56" t="s">
        <v>26</v>
      </c>
      <c r="O56" t="s">
        <v>62</v>
      </c>
      <c r="P56" t="s">
        <v>25</v>
      </c>
      <c r="Q56">
        <v>2</v>
      </c>
      <c r="R56">
        <v>181.63</v>
      </c>
    </row>
    <row r="57" spans="1:18" x14ac:dyDescent="0.3">
      <c r="A57" t="s">
        <v>175</v>
      </c>
      <c r="B57" t="s">
        <v>176</v>
      </c>
      <c r="C57" t="s">
        <v>41</v>
      </c>
      <c r="D57" t="s">
        <v>32</v>
      </c>
      <c r="E57" s="4">
        <v>42470</v>
      </c>
      <c r="F57" t="s">
        <v>22</v>
      </c>
      <c r="G57" t="s">
        <v>49</v>
      </c>
      <c r="H57" t="s">
        <v>75</v>
      </c>
      <c r="I57" t="s">
        <v>35</v>
      </c>
      <c r="J57">
        <v>3</v>
      </c>
      <c r="K57">
        <v>346</v>
      </c>
      <c r="L57">
        <v>4914.3</v>
      </c>
      <c r="M57">
        <v>49393</v>
      </c>
      <c r="N57" t="s">
        <v>61</v>
      </c>
      <c r="O57" t="s">
        <v>37</v>
      </c>
      <c r="P57" t="s">
        <v>51</v>
      </c>
      <c r="Q57">
        <v>2</v>
      </c>
      <c r="R57">
        <v>131.85</v>
      </c>
    </row>
    <row r="58" spans="1:18" x14ac:dyDescent="0.3">
      <c r="A58" t="s">
        <v>177</v>
      </c>
      <c r="B58" t="s">
        <v>178</v>
      </c>
      <c r="C58" t="s">
        <v>79</v>
      </c>
      <c r="D58" t="s">
        <v>109</v>
      </c>
      <c r="E58" s="4">
        <v>45676</v>
      </c>
      <c r="F58" t="s">
        <v>48</v>
      </c>
      <c r="G58" t="s">
        <v>83</v>
      </c>
      <c r="H58" t="s">
        <v>70</v>
      </c>
      <c r="I58" t="s">
        <v>76</v>
      </c>
      <c r="J58">
        <v>8</v>
      </c>
      <c r="K58">
        <v>1346</v>
      </c>
      <c r="L58">
        <v>1920.91</v>
      </c>
      <c r="M58">
        <v>1578</v>
      </c>
      <c r="N58" t="s">
        <v>36</v>
      </c>
      <c r="O58" t="s">
        <v>62</v>
      </c>
      <c r="P58" t="s">
        <v>38</v>
      </c>
      <c r="Q58">
        <v>23</v>
      </c>
      <c r="R58">
        <v>121.71</v>
      </c>
    </row>
    <row r="59" spans="1:18" x14ac:dyDescent="0.3">
      <c r="A59" t="s">
        <v>179</v>
      </c>
      <c r="B59" t="s">
        <v>180</v>
      </c>
      <c r="C59" t="s">
        <v>97</v>
      </c>
      <c r="D59" t="s">
        <v>82</v>
      </c>
      <c r="E59" s="4">
        <v>42080</v>
      </c>
      <c r="F59" t="s">
        <v>43</v>
      </c>
      <c r="G59" t="s">
        <v>23</v>
      </c>
      <c r="H59" t="s">
        <v>55</v>
      </c>
      <c r="I59" t="s">
        <v>51</v>
      </c>
      <c r="J59">
        <v>6</v>
      </c>
      <c r="K59">
        <v>672</v>
      </c>
      <c r="L59">
        <v>2997.74</v>
      </c>
      <c r="M59">
        <v>39927</v>
      </c>
      <c r="N59" t="s">
        <v>26</v>
      </c>
      <c r="O59" t="s">
        <v>62</v>
      </c>
      <c r="P59" t="s">
        <v>52</v>
      </c>
      <c r="Q59">
        <v>28</v>
      </c>
      <c r="R59">
        <v>83.41</v>
      </c>
    </row>
    <row r="60" spans="1:18" x14ac:dyDescent="0.3">
      <c r="A60" t="s">
        <v>181</v>
      </c>
      <c r="B60" t="s">
        <v>182</v>
      </c>
      <c r="C60" t="s">
        <v>68</v>
      </c>
      <c r="D60" t="s">
        <v>109</v>
      </c>
      <c r="E60" s="4">
        <v>45122</v>
      </c>
      <c r="F60" t="s">
        <v>43</v>
      </c>
      <c r="G60" t="s">
        <v>102</v>
      </c>
      <c r="H60" t="s">
        <v>70</v>
      </c>
      <c r="I60" t="s">
        <v>34</v>
      </c>
      <c r="J60">
        <v>1</v>
      </c>
      <c r="K60">
        <v>135</v>
      </c>
      <c r="L60">
        <v>1525.92</v>
      </c>
      <c r="M60">
        <v>9481</v>
      </c>
      <c r="N60" t="s">
        <v>36</v>
      </c>
      <c r="O60" t="s">
        <v>56</v>
      </c>
      <c r="P60" t="s">
        <v>45</v>
      </c>
      <c r="Q60">
        <v>8</v>
      </c>
      <c r="R60">
        <v>51.59</v>
      </c>
    </row>
    <row r="61" spans="1:18" x14ac:dyDescent="0.3">
      <c r="A61" t="s">
        <v>183</v>
      </c>
      <c r="B61" t="s">
        <v>184</v>
      </c>
      <c r="C61" t="s">
        <v>20</v>
      </c>
      <c r="D61" t="s">
        <v>82</v>
      </c>
      <c r="E61" s="4">
        <v>40231</v>
      </c>
      <c r="F61" t="s">
        <v>60</v>
      </c>
      <c r="G61" t="s">
        <v>102</v>
      </c>
      <c r="H61" t="s">
        <v>34</v>
      </c>
      <c r="I61" t="s">
        <v>35</v>
      </c>
      <c r="J61">
        <v>7</v>
      </c>
      <c r="K61">
        <v>912</v>
      </c>
      <c r="L61">
        <v>1122.92</v>
      </c>
      <c r="M61">
        <v>41172</v>
      </c>
      <c r="N61" t="s">
        <v>36</v>
      </c>
      <c r="O61" t="s">
        <v>27</v>
      </c>
      <c r="P61" t="s">
        <v>28</v>
      </c>
      <c r="Q61">
        <v>31</v>
      </c>
      <c r="R61">
        <v>150.44</v>
      </c>
    </row>
    <row r="62" spans="1:18" x14ac:dyDescent="0.3">
      <c r="A62" t="s">
        <v>185</v>
      </c>
      <c r="B62" t="s">
        <v>186</v>
      </c>
      <c r="C62" t="s">
        <v>20</v>
      </c>
      <c r="D62" t="s">
        <v>32</v>
      </c>
      <c r="E62" s="4">
        <v>43141</v>
      </c>
      <c r="F62" t="s">
        <v>22</v>
      </c>
      <c r="G62" t="s">
        <v>83</v>
      </c>
      <c r="H62" t="s">
        <v>50</v>
      </c>
      <c r="I62" t="s">
        <v>92</v>
      </c>
      <c r="J62">
        <v>6</v>
      </c>
      <c r="K62">
        <v>85</v>
      </c>
      <c r="L62">
        <v>1115.1099999999999</v>
      </c>
      <c r="M62">
        <v>45412</v>
      </c>
      <c r="N62" t="s">
        <v>26</v>
      </c>
      <c r="O62" t="s">
        <v>37</v>
      </c>
      <c r="P62" t="s">
        <v>51</v>
      </c>
      <c r="Q62">
        <v>15</v>
      </c>
      <c r="R62">
        <v>175.81</v>
      </c>
    </row>
    <row r="63" spans="1:18" x14ac:dyDescent="0.3">
      <c r="A63" t="s">
        <v>187</v>
      </c>
      <c r="B63" t="s">
        <v>188</v>
      </c>
      <c r="C63" t="s">
        <v>97</v>
      </c>
      <c r="D63" t="s">
        <v>109</v>
      </c>
      <c r="E63" s="4">
        <v>45283</v>
      </c>
      <c r="F63" t="s">
        <v>69</v>
      </c>
      <c r="G63" t="s">
        <v>83</v>
      </c>
      <c r="H63" t="s">
        <v>75</v>
      </c>
      <c r="I63" t="s">
        <v>25</v>
      </c>
      <c r="J63">
        <v>1</v>
      </c>
      <c r="K63">
        <v>153</v>
      </c>
      <c r="L63">
        <v>3149.69</v>
      </c>
      <c r="M63">
        <v>37340</v>
      </c>
      <c r="N63" t="s">
        <v>61</v>
      </c>
      <c r="O63" t="s">
        <v>62</v>
      </c>
      <c r="P63" t="s">
        <v>45</v>
      </c>
      <c r="Q63">
        <v>13</v>
      </c>
      <c r="R63">
        <v>154.93</v>
      </c>
    </row>
    <row r="64" spans="1:18" x14ac:dyDescent="0.3">
      <c r="A64" t="s">
        <v>189</v>
      </c>
      <c r="B64" t="s">
        <v>190</v>
      </c>
      <c r="C64" t="s">
        <v>20</v>
      </c>
      <c r="D64" t="s">
        <v>32</v>
      </c>
      <c r="E64" s="4">
        <v>41457</v>
      </c>
      <c r="F64" t="s">
        <v>43</v>
      </c>
      <c r="G64" t="s">
        <v>44</v>
      </c>
      <c r="H64" t="s">
        <v>34</v>
      </c>
      <c r="I64" t="s">
        <v>92</v>
      </c>
      <c r="J64">
        <v>6</v>
      </c>
      <c r="K64">
        <v>1482</v>
      </c>
      <c r="L64">
        <v>208.53</v>
      </c>
      <c r="M64">
        <v>41174</v>
      </c>
      <c r="N64" t="s">
        <v>36</v>
      </c>
      <c r="O64" t="s">
        <v>27</v>
      </c>
      <c r="P64" t="s">
        <v>25</v>
      </c>
      <c r="Q64">
        <v>43</v>
      </c>
      <c r="R64">
        <v>28.82</v>
      </c>
    </row>
    <row r="65" spans="1:18" x14ac:dyDescent="0.3">
      <c r="A65" t="s">
        <v>191</v>
      </c>
      <c r="B65" t="s">
        <v>192</v>
      </c>
      <c r="C65" t="s">
        <v>31</v>
      </c>
      <c r="D65" t="s">
        <v>21</v>
      </c>
      <c r="E65" s="4">
        <v>42729</v>
      </c>
      <c r="F65" t="s">
        <v>22</v>
      </c>
      <c r="G65" t="s">
        <v>83</v>
      </c>
      <c r="H65" t="s">
        <v>70</v>
      </c>
      <c r="I65" t="s">
        <v>76</v>
      </c>
      <c r="J65">
        <v>8</v>
      </c>
      <c r="K65">
        <v>1253</v>
      </c>
      <c r="L65">
        <v>4807.96</v>
      </c>
      <c r="M65">
        <v>25241</v>
      </c>
      <c r="N65" t="s">
        <v>61</v>
      </c>
      <c r="O65" t="s">
        <v>56</v>
      </c>
      <c r="P65" t="s">
        <v>45</v>
      </c>
      <c r="Q65">
        <v>38</v>
      </c>
      <c r="R65">
        <v>106.41</v>
      </c>
    </row>
    <row r="66" spans="1:18" x14ac:dyDescent="0.3">
      <c r="A66" t="s">
        <v>193</v>
      </c>
      <c r="B66" t="s">
        <v>194</v>
      </c>
      <c r="C66" t="s">
        <v>31</v>
      </c>
      <c r="D66" t="s">
        <v>32</v>
      </c>
      <c r="E66" s="4">
        <v>42051</v>
      </c>
      <c r="F66" t="s">
        <v>22</v>
      </c>
      <c r="G66" t="s">
        <v>23</v>
      </c>
      <c r="H66" t="s">
        <v>70</v>
      </c>
      <c r="I66" t="s">
        <v>25</v>
      </c>
      <c r="J66">
        <v>4</v>
      </c>
      <c r="K66">
        <v>681</v>
      </c>
      <c r="L66">
        <v>2571.7800000000002</v>
      </c>
      <c r="M66">
        <v>23595</v>
      </c>
      <c r="N66" t="s">
        <v>61</v>
      </c>
      <c r="O66" t="s">
        <v>37</v>
      </c>
      <c r="P66" t="s">
        <v>45</v>
      </c>
      <c r="Q66">
        <v>20</v>
      </c>
      <c r="R66">
        <v>151.09</v>
      </c>
    </row>
    <row r="67" spans="1:18" x14ac:dyDescent="0.3">
      <c r="A67" t="s">
        <v>195</v>
      </c>
      <c r="B67" t="s">
        <v>196</v>
      </c>
      <c r="C67" t="s">
        <v>31</v>
      </c>
      <c r="D67" t="s">
        <v>42</v>
      </c>
      <c r="E67" s="4">
        <v>44128</v>
      </c>
      <c r="F67" t="s">
        <v>48</v>
      </c>
      <c r="G67" t="s">
        <v>102</v>
      </c>
      <c r="H67" t="s">
        <v>24</v>
      </c>
      <c r="I67" t="s">
        <v>34</v>
      </c>
      <c r="J67">
        <v>2</v>
      </c>
      <c r="K67">
        <v>1061</v>
      </c>
      <c r="L67">
        <v>4105.18</v>
      </c>
      <c r="M67">
        <v>22280</v>
      </c>
      <c r="N67" t="s">
        <v>36</v>
      </c>
      <c r="O67" t="s">
        <v>27</v>
      </c>
      <c r="P67" t="s">
        <v>45</v>
      </c>
      <c r="Q67">
        <v>27</v>
      </c>
      <c r="R67">
        <v>172.03</v>
      </c>
    </row>
    <row r="68" spans="1:18" x14ac:dyDescent="0.3">
      <c r="A68" t="s">
        <v>197</v>
      </c>
      <c r="B68" t="s">
        <v>198</v>
      </c>
      <c r="C68" t="s">
        <v>20</v>
      </c>
      <c r="D68" t="s">
        <v>59</v>
      </c>
      <c r="E68" s="4">
        <v>40715</v>
      </c>
      <c r="F68" t="s">
        <v>43</v>
      </c>
      <c r="G68" t="s">
        <v>44</v>
      </c>
      <c r="H68" t="s">
        <v>34</v>
      </c>
      <c r="I68" t="s">
        <v>25</v>
      </c>
      <c r="J68">
        <v>3</v>
      </c>
      <c r="K68">
        <v>323</v>
      </c>
      <c r="L68">
        <v>3757.99</v>
      </c>
      <c r="M68">
        <v>1659</v>
      </c>
      <c r="N68" t="s">
        <v>26</v>
      </c>
      <c r="O68" t="s">
        <v>56</v>
      </c>
      <c r="P68" t="s">
        <v>51</v>
      </c>
      <c r="Q68">
        <v>40</v>
      </c>
      <c r="R68">
        <v>118.18</v>
      </c>
    </row>
    <row r="69" spans="1:18" x14ac:dyDescent="0.3">
      <c r="A69" t="s">
        <v>199</v>
      </c>
      <c r="B69" t="s">
        <v>200</v>
      </c>
      <c r="C69" t="s">
        <v>97</v>
      </c>
      <c r="D69" t="s">
        <v>42</v>
      </c>
      <c r="E69" s="4">
        <v>41671</v>
      </c>
      <c r="F69" t="s">
        <v>22</v>
      </c>
      <c r="G69" t="s">
        <v>33</v>
      </c>
      <c r="H69" t="s">
        <v>70</v>
      </c>
      <c r="I69" t="s">
        <v>76</v>
      </c>
      <c r="J69">
        <v>5</v>
      </c>
      <c r="K69">
        <v>1330</v>
      </c>
      <c r="L69">
        <v>3095.78</v>
      </c>
      <c r="M69">
        <v>46153</v>
      </c>
      <c r="N69" t="s">
        <v>36</v>
      </c>
      <c r="O69" t="s">
        <v>56</v>
      </c>
      <c r="P69" t="s">
        <v>51</v>
      </c>
      <c r="Q69">
        <v>49</v>
      </c>
      <c r="R69">
        <v>51.57</v>
      </c>
    </row>
    <row r="70" spans="1:18" x14ac:dyDescent="0.3">
      <c r="A70" t="s">
        <v>201</v>
      </c>
      <c r="B70" t="s">
        <v>202</v>
      </c>
      <c r="C70" t="s">
        <v>20</v>
      </c>
      <c r="D70" t="s">
        <v>109</v>
      </c>
      <c r="E70" s="4">
        <v>42235</v>
      </c>
      <c r="F70" t="s">
        <v>69</v>
      </c>
      <c r="G70" t="s">
        <v>83</v>
      </c>
      <c r="H70" t="s">
        <v>70</v>
      </c>
      <c r="I70" t="s">
        <v>35</v>
      </c>
      <c r="J70">
        <v>3</v>
      </c>
      <c r="K70">
        <v>848</v>
      </c>
      <c r="L70">
        <v>4979.6099999999997</v>
      </c>
      <c r="M70">
        <v>7536</v>
      </c>
      <c r="N70" t="s">
        <v>61</v>
      </c>
      <c r="O70" t="s">
        <v>37</v>
      </c>
      <c r="P70" t="s">
        <v>28</v>
      </c>
      <c r="Q70">
        <v>32</v>
      </c>
      <c r="R70">
        <v>162.59</v>
      </c>
    </row>
    <row r="71" spans="1:18" x14ac:dyDescent="0.3">
      <c r="A71" t="s">
        <v>203</v>
      </c>
      <c r="B71" t="s">
        <v>204</v>
      </c>
      <c r="C71" t="s">
        <v>20</v>
      </c>
      <c r="D71" t="s">
        <v>32</v>
      </c>
      <c r="E71" s="4">
        <v>43897</v>
      </c>
      <c r="F71" t="s">
        <v>65</v>
      </c>
      <c r="G71" t="s">
        <v>44</v>
      </c>
      <c r="H71" t="s">
        <v>50</v>
      </c>
      <c r="I71" t="s">
        <v>25</v>
      </c>
      <c r="J71">
        <v>1</v>
      </c>
      <c r="K71">
        <v>176</v>
      </c>
      <c r="L71">
        <v>2878.3</v>
      </c>
      <c r="M71">
        <v>6787</v>
      </c>
      <c r="N71" t="s">
        <v>36</v>
      </c>
      <c r="O71" t="s">
        <v>27</v>
      </c>
      <c r="P71" t="s">
        <v>25</v>
      </c>
      <c r="Q71">
        <v>44</v>
      </c>
      <c r="R71">
        <v>208.49</v>
      </c>
    </row>
    <row r="72" spans="1:18" x14ac:dyDescent="0.3">
      <c r="A72" t="s">
        <v>205</v>
      </c>
      <c r="B72" t="s">
        <v>206</v>
      </c>
      <c r="C72" t="s">
        <v>31</v>
      </c>
      <c r="D72" t="s">
        <v>42</v>
      </c>
      <c r="E72" s="4">
        <v>44890</v>
      </c>
      <c r="F72" t="s">
        <v>48</v>
      </c>
      <c r="G72" t="s">
        <v>83</v>
      </c>
      <c r="H72" t="s">
        <v>55</v>
      </c>
      <c r="I72" t="s">
        <v>34</v>
      </c>
      <c r="J72">
        <v>8</v>
      </c>
      <c r="K72">
        <v>8</v>
      </c>
      <c r="L72">
        <v>157.94</v>
      </c>
      <c r="M72">
        <v>31432</v>
      </c>
      <c r="N72" t="s">
        <v>36</v>
      </c>
      <c r="O72" t="s">
        <v>62</v>
      </c>
      <c r="P72" t="s">
        <v>45</v>
      </c>
      <c r="Q72">
        <v>37</v>
      </c>
      <c r="R72">
        <v>80.84</v>
      </c>
    </row>
    <row r="73" spans="1:18" x14ac:dyDescent="0.3">
      <c r="A73" t="s">
        <v>207</v>
      </c>
      <c r="B73" t="s">
        <v>208</v>
      </c>
      <c r="C73" t="s">
        <v>20</v>
      </c>
      <c r="D73" t="s">
        <v>21</v>
      </c>
      <c r="E73" s="4">
        <v>46017</v>
      </c>
      <c r="F73" t="s">
        <v>60</v>
      </c>
      <c r="G73" t="s">
        <v>102</v>
      </c>
      <c r="H73" t="s">
        <v>50</v>
      </c>
      <c r="I73" t="s">
        <v>35</v>
      </c>
      <c r="J73">
        <v>2</v>
      </c>
      <c r="K73">
        <v>986</v>
      </c>
      <c r="L73">
        <v>4033.16</v>
      </c>
      <c r="M73">
        <v>31768</v>
      </c>
      <c r="N73" t="s">
        <v>26</v>
      </c>
      <c r="O73" t="s">
        <v>56</v>
      </c>
      <c r="P73" t="s">
        <v>45</v>
      </c>
      <c r="Q73">
        <v>43</v>
      </c>
      <c r="R73">
        <v>247.48</v>
      </c>
    </row>
    <row r="74" spans="1:18" x14ac:dyDescent="0.3">
      <c r="A74" t="s">
        <v>209</v>
      </c>
      <c r="B74" t="s">
        <v>210</v>
      </c>
      <c r="C74" t="s">
        <v>31</v>
      </c>
      <c r="D74" t="s">
        <v>109</v>
      </c>
      <c r="E74" s="4">
        <v>41265</v>
      </c>
      <c r="F74" t="s">
        <v>65</v>
      </c>
      <c r="G74" t="s">
        <v>33</v>
      </c>
      <c r="H74" t="s">
        <v>50</v>
      </c>
      <c r="I74" t="s">
        <v>51</v>
      </c>
      <c r="J74">
        <v>2</v>
      </c>
      <c r="K74">
        <v>691</v>
      </c>
      <c r="L74">
        <v>964.05</v>
      </c>
      <c r="M74">
        <v>42609</v>
      </c>
      <c r="N74" t="s">
        <v>26</v>
      </c>
      <c r="O74" t="s">
        <v>27</v>
      </c>
      <c r="P74" t="s">
        <v>38</v>
      </c>
      <c r="Q74">
        <v>36</v>
      </c>
      <c r="R74">
        <v>237.33</v>
      </c>
    </row>
    <row r="75" spans="1:18" x14ac:dyDescent="0.3">
      <c r="A75" t="s">
        <v>211</v>
      </c>
      <c r="B75" t="s">
        <v>212</v>
      </c>
      <c r="C75" t="s">
        <v>68</v>
      </c>
      <c r="D75" t="s">
        <v>109</v>
      </c>
      <c r="E75" s="4">
        <v>41689</v>
      </c>
      <c r="F75" t="s">
        <v>60</v>
      </c>
      <c r="G75" t="s">
        <v>44</v>
      </c>
      <c r="H75" t="s">
        <v>34</v>
      </c>
      <c r="I75" t="s">
        <v>92</v>
      </c>
      <c r="J75">
        <v>0</v>
      </c>
      <c r="K75">
        <v>840</v>
      </c>
      <c r="L75">
        <v>4657.32</v>
      </c>
      <c r="M75">
        <v>12119</v>
      </c>
      <c r="N75" t="s">
        <v>61</v>
      </c>
      <c r="O75" t="s">
        <v>37</v>
      </c>
      <c r="P75" t="s">
        <v>52</v>
      </c>
      <c r="Q75">
        <v>30</v>
      </c>
      <c r="R75">
        <v>57.65</v>
      </c>
    </row>
    <row r="76" spans="1:18" x14ac:dyDescent="0.3">
      <c r="A76" t="s">
        <v>213</v>
      </c>
      <c r="B76" t="s">
        <v>214</v>
      </c>
      <c r="C76" t="s">
        <v>68</v>
      </c>
      <c r="D76" t="s">
        <v>82</v>
      </c>
      <c r="E76" s="4">
        <v>40647</v>
      </c>
      <c r="F76" t="s">
        <v>22</v>
      </c>
      <c r="G76" t="s">
        <v>49</v>
      </c>
      <c r="H76" t="s">
        <v>24</v>
      </c>
      <c r="I76" t="s">
        <v>51</v>
      </c>
      <c r="J76">
        <v>7</v>
      </c>
      <c r="K76">
        <v>629</v>
      </c>
      <c r="L76">
        <v>2245.7600000000002</v>
      </c>
      <c r="M76">
        <v>3028</v>
      </c>
      <c r="N76" t="s">
        <v>26</v>
      </c>
      <c r="O76" t="s">
        <v>56</v>
      </c>
      <c r="P76" t="s">
        <v>25</v>
      </c>
      <c r="Q76">
        <v>32</v>
      </c>
      <c r="R76">
        <v>135.58000000000001</v>
      </c>
    </row>
    <row r="77" spans="1:18" x14ac:dyDescent="0.3">
      <c r="A77" t="s">
        <v>215</v>
      </c>
      <c r="B77" t="s">
        <v>216</v>
      </c>
      <c r="C77" t="s">
        <v>97</v>
      </c>
      <c r="D77" t="s">
        <v>42</v>
      </c>
      <c r="E77" s="4">
        <v>44441</v>
      </c>
      <c r="F77" t="s">
        <v>69</v>
      </c>
      <c r="G77" t="s">
        <v>102</v>
      </c>
      <c r="H77" t="s">
        <v>75</v>
      </c>
      <c r="I77" t="s">
        <v>76</v>
      </c>
      <c r="J77">
        <v>1</v>
      </c>
      <c r="K77">
        <v>948</v>
      </c>
      <c r="L77">
        <v>609.36</v>
      </c>
      <c r="M77">
        <v>40813</v>
      </c>
      <c r="N77" t="s">
        <v>26</v>
      </c>
      <c r="O77" t="s">
        <v>27</v>
      </c>
      <c r="P77" t="s">
        <v>28</v>
      </c>
      <c r="Q77">
        <v>28</v>
      </c>
      <c r="R77">
        <v>197.86</v>
      </c>
    </row>
    <row r="78" spans="1:18" x14ac:dyDescent="0.3">
      <c r="A78" t="s">
        <v>217</v>
      </c>
      <c r="B78" t="s">
        <v>218</v>
      </c>
      <c r="C78" t="s">
        <v>97</v>
      </c>
      <c r="D78" t="s">
        <v>32</v>
      </c>
      <c r="E78" s="4">
        <v>40493</v>
      </c>
      <c r="F78" t="s">
        <v>69</v>
      </c>
      <c r="G78" t="s">
        <v>44</v>
      </c>
      <c r="H78" t="s">
        <v>70</v>
      </c>
      <c r="I78" t="s">
        <v>51</v>
      </c>
      <c r="J78">
        <v>4</v>
      </c>
      <c r="K78">
        <v>1007</v>
      </c>
      <c r="L78">
        <v>4909.08</v>
      </c>
      <c r="M78">
        <v>9140</v>
      </c>
      <c r="N78" t="s">
        <v>36</v>
      </c>
      <c r="O78" t="s">
        <v>27</v>
      </c>
      <c r="P78" t="s">
        <v>28</v>
      </c>
      <c r="Q78">
        <v>32</v>
      </c>
      <c r="R78">
        <v>193.87</v>
      </c>
    </row>
    <row r="79" spans="1:18" x14ac:dyDescent="0.3">
      <c r="A79" t="s">
        <v>219</v>
      </c>
      <c r="B79" t="s">
        <v>220</v>
      </c>
      <c r="C79" t="s">
        <v>97</v>
      </c>
      <c r="D79" t="s">
        <v>82</v>
      </c>
      <c r="E79" s="4">
        <v>41689</v>
      </c>
      <c r="F79" t="s">
        <v>69</v>
      </c>
      <c r="G79" t="s">
        <v>49</v>
      </c>
      <c r="H79" t="s">
        <v>50</v>
      </c>
      <c r="I79" t="s">
        <v>76</v>
      </c>
      <c r="J79">
        <v>7</v>
      </c>
      <c r="K79">
        <v>11</v>
      </c>
      <c r="L79">
        <v>925.23</v>
      </c>
      <c r="M79">
        <v>29408</v>
      </c>
      <c r="N79" t="s">
        <v>36</v>
      </c>
      <c r="O79" t="s">
        <v>27</v>
      </c>
      <c r="P79" t="s">
        <v>51</v>
      </c>
      <c r="Q79">
        <v>10</v>
      </c>
      <c r="R79">
        <v>61.68</v>
      </c>
    </row>
    <row r="80" spans="1:18" x14ac:dyDescent="0.3">
      <c r="A80" t="s">
        <v>221</v>
      </c>
      <c r="B80" t="s">
        <v>222</v>
      </c>
      <c r="C80" t="s">
        <v>97</v>
      </c>
      <c r="D80" t="s">
        <v>42</v>
      </c>
      <c r="E80" s="4">
        <v>44901</v>
      </c>
      <c r="F80" t="s">
        <v>48</v>
      </c>
      <c r="G80" t="s">
        <v>49</v>
      </c>
      <c r="H80" t="s">
        <v>70</v>
      </c>
      <c r="I80" t="s">
        <v>25</v>
      </c>
      <c r="J80">
        <v>2</v>
      </c>
      <c r="K80">
        <v>1207</v>
      </c>
      <c r="L80">
        <v>1285.6600000000001</v>
      </c>
      <c r="M80">
        <v>30829</v>
      </c>
      <c r="N80" t="s">
        <v>61</v>
      </c>
      <c r="O80" t="s">
        <v>62</v>
      </c>
      <c r="P80" t="s">
        <v>28</v>
      </c>
      <c r="Q80">
        <v>20</v>
      </c>
      <c r="R80">
        <v>182.76</v>
      </c>
    </row>
    <row r="81" spans="1:18" x14ac:dyDescent="0.3">
      <c r="A81" t="s">
        <v>223</v>
      </c>
      <c r="B81" t="s">
        <v>224</v>
      </c>
      <c r="C81" t="s">
        <v>20</v>
      </c>
      <c r="D81" t="s">
        <v>32</v>
      </c>
      <c r="E81" s="4">
        <v>44368</v>
      </c>
      <c r="F81" t="s">
        <v>22</v>
      </c>
      <c r="G81" t="s">
        <v>33</v>
      </c>
      <c r="H81" t="s">
        <v>50</v>
      </c>
      <c r="I81" t="s">
        <v>51</v>
      </c>
      <c r="J81">
        <v>6</v>
      </c>
      <c r="K81">
        <v>1297</v>
      </c>
      <c r="L81">
        <v>3493.86</v>
      </c>
      <c r="M81">
        <v>39223</v>
      </c>
      <c r="N81" t="s">
        <v>36</v>
      </c>
      <c r="O81" t="s">
        <v>56</v>
      </c>
      <c r="P81" t="s">
        <v>51</v>
      </c>
      <c r="Q81">
        <v>9</v>
      </c>
      <c r="R81">
        <v>139.37</v>
      </c>
    </row>
    <row r="82" spans="1:18" x14ac:dyDescent="0.3">
      <c r="A82" t="s">
        <v>225</v>
      </c>
      <c r="B82" t="s">
        <v>226</v>
      </c>
      <c r="C82" t="s">
        <v>68</v>
      </c>
      <c r="D82" t="s">
        <v>32</v>
      </c>
      <c r="E82" s="4">
        <v>43056</v>
      </c>
      <c r="F82" t="s">
        <v>48</v>
      </c>
      <c r="G82" t="s">
        <v>44</v>
      </c>
      <c r="H82" t="s">
        <v>34</v>
      </c>
      <c r="I82" t="s">
        <v>25</v>
      </c>
      <c r="J82">
        <v>5</v>
      </c>
      <c r="K82">
        <v>573</v>
      </c>
      <c r="L82">
        <v>1843.45</v>
      </c>
      <c r="M82">
        <v>27881</v>
      </c>
      <c r="N82" t="s">
        <v>36</v>
      </c>
      <c r="O82" t="s">
        <v>56</v>
      </c>
      <c r="P82" t="s">
        <v>28</v>
      </c>
      <c r="Q82">
        <v>43</v>
      </c>
      <c r="R82">
        <v>154.37</v>
      </c>
    </row>
    <row r="83" spans="1:18" x14ac:dyDescent="0.3">
      <c r="A83" t="s">
        <v>227</v>
      </c>
      <c r="B83" t="s">
        <v>228</v>
      </c>
      <c r="C83" t="s">
        <v>20</v>
      </c>
      <c r="D83" t="s">
        <v>21</v>
      </c>
      <c r="E83" s="4">
        <v>41665</v>
      </c>
      <c r="F83" t="s">
        <v>22</v>
      </c>
      <c r="G83" t="s">
        <v>44</v>
      </c>
      <c r="H83" t="s">
        <v>24</v>
      </c>
      <c r="I83" t="s">
        <v>34</v>
      </c>
      <c r="J83">
        <v>3</v>
      </c>
      <c r="K83">
        <v>510</v>
      </c>
      <c r="L83">
        <v>2256.5300000000002</v>
      </c>
      <c r="M83">
        <v>20088</v>
      </c>
      <c r="N83" t="s">
        <v>61</v>
      </c>
      <c r="O83" t="s">
        <v>56</v>
      </c>
      <c r="P83" t="s">
        <v>28</v>
      </c>
      <c r="Q83">
        <v>1</v>
      </c>
      <c r="R83">
        <v>8.8000000000000007</v>
      </c>
    </row>
    <row r="84" spans="1:18" x14ac:dyDescent="0.3">
      <c r="A84" t="s">
        <v>229</v>
      </c>
      <c r="B84" t="s">
        <v>230</v>
      </c>
      <c r="C84" t="s">
        <v>79</v>
      </c>
      <c r="D84" t="s">
        <v>109</v>
      </c>
      <c r="E84" s="4">
        <v>43229</v>
      </c>
      <c r="F84" t="s">
        <v>48</v>
      </c>
      <c r="G84" t="s">
        <v>49</v>
      </c>
      <c r="H84" t="s">
        <v>55</v>
      </c>
      <c r="I84" t="s">
        <v>35</v>
      </c>
      <c r="J84">
        <v>1</v>
      </c>
      <c r="K84">
        <v>389</v>
      </c>
      <c r="L84">
        <v>3678.43</v>
      </c>
      <c r="M84">
        <v>10585</v>
      </c>
      <c r="N84" t="s">
        <v>26</v>
      </c>
      <c r="O84" t="s">
        <v>56</v>
      </c>
      <c r="P84" t="s">
        <v>51</v>
      </c>
      <c r="Q84">
        <v>29</v>
      </c>
      <c r="R84">
        <v>15.49</v>
      </c>
    </row>
    <row r="85" spans="1:18" x14ac:dyDescent="0.3">
      <c r="A85" t="s">
        <v>231</v>
      </c>
      <c r="B85" t="s">
        <v>232</v>
      </c>
      <c r="C85" t="s">
        <v>68</v>
      </c>
      <c r="D85" t="s">
        <v>82</v>
      </c>
      <c r="E85" s="4">
        <v>43499</v>
      </c>
      <c r="F85" t="s">
        <v>48</v>
      </c>
      <c r="G85" t="s">
        <v>33</v>
      </c>
      <c r="H85" t="s">
        <v>24</v>
      </c>
      <c r="I85" t="s">
        <v>92</v>
      </c>
      <c r="J85">
        <v>2</v>
      </c>
      <c r="K85">
        <v>1163</v>
      </c>
      <c r="L85">
        <v>1405.13</v>
      </c>
      <c r="M85">
        <v>22177</v>
      </c>
      <c r="N85" t="s">
        <v>61</v>
      </c>
      <c r="O85" t="s">
        <v>37</v>
      </c>
      <c r="P85" t="s">
        <v>51</v>
      </c>
      <c r="Q85">
        <v>35</v>
      </c>
      <c r="R85">
        <v>78.75</v>
      </c>
    </row>
    <row r="86" spans="1:18" x14ac:dyDescent="0.3">
      <c r="A86" t="s">
        <v>233</v>
      </c>
      <c r="B86" t="s">
        <v>234</v>
      </c>
      <c r="C86" t="s">
        <v>79</v>
      </c>
      <c r="D86" t="s">
        <v>109</v>
      </c>
      <c r="E86" s="4">
        <v>41425</v>
      </c>
      <c r="F86" t="s">
        <v>60</v>
      </c>
      <c r="G86" t="s">
        <v>23</v>
      </c>
      <c r="H86" t="s">
        <v>24</v>
      </c>
      <c r="I86" t="s">
        <v>35</v>
      </c>
      <c r="J86">
        <v>7</v>
      </c>
      <c r="K86">
        <v>1091</v>
      </c>
      <c r="L86">
        <v>4926.71</v>
      </c>
      <c r="M86">
        <v>21602</v>
      </c>
      <c r="N86" t="s">
        <v>61</v>
      </c>
      <c r="O86" t="s">
        <v>56</v>
      </c>
      <c r="P86" t="s">
        <v>28</v>
      </c>
      <c r="Q86">
        <v>16</v>
      </c>
      <c r="R86">
        <v>87.77</v>
      </c>
    </row>
    <row r="87" spans="1:18" x14ac:dyDescent="0.3">
      <c r="A87" t="s">
        <v>235</v>
      </c>
      <c r="B87" t="s">
        <v>236</v>
      </c>
      <c r="C87" t="s">
        <v>41</v>
      </c>
      <c r="D87" t="s">
        <v>82</v>
      </c>
      <c r="E87" s="4">
        <v>43503</v>
      </c>
      <c r="F87" t="s">
        <v>65</v>
      </c>
      <c r="G87" t="s">
        <v>44</v>
      </c>
      <c r="H87" t="s">
        <v>75</v>
      </c>
      <c r="I87" t="s">
        <v>51</v>
      </c>
      <c r="J87">
        <v>0</v>
      </c>
      <c r="K87">
        <v>1429</v>
      </c>
      <c r="L87">
        <v>296.57</v>
      </c>
      <c r="M87">
        <v>22900</v>
      </c>
      <c r="N87" t="s">
        <v>61</v>
      </c>
      <c r="O87" t="s">
        <v>27</v>
      </c>
      <c r="P87" t="s">
        <v>45</v>
      </c>
      <c r="Q87">
        <v>31</v>
      </c>
      <c r="R87">
        <v>133.09</v>
      </c>
    </row>
    <row r="88" spans="1:18" x14ac:dyDescent="0.3">
      <c r="A88" t="s">
        <v>237</v>
      </c>
      <c r="B88" t="s">
        <v>238</v>
      </c>
      <c r="C88" t="s">
        <v>68</v>
      </c>
      <c r="D88" t="s">
        <v>109</v>
      </c>
      <c r="E88" s="4">
        <v>42587</v>
      </c>
      <c r="F88" t="s">
        <v>60</v>
      </c>
      <c r="G88" t="s">
        <v>102</v>
      </c>
      <c r="H88" t="s">
        <v>55</v>
      </c>
      <c r="I88" t="s">
        <v>92</v>
      </c>
      <c r="J88">
        <v>8</v>
      </c>
      <c r="K88">
        <v>803</v>
      </c>
      <c r="L88">
        <v>1994.71</v>
      </c>
      <c r="M88">
        <v>6410</v>
      </c>
      <c r="N88" t="s">
        <v>26</v>
      </c>
      <c r="O88" t="s">
        <v>27</v>
      </c>
      <c r="P88" t="s">
        <v>38</v>
      </c>
      <c r="Q88">
        <v>27</v>
      </c>
      <c r="R88">
        <v>91.58</v>
      </c>
    </row>
    <row r="89" spans="1:18" x14ac:dyDescent="0.3">
      <c r="A89" t="s">
        <v>239</v>
      </c>
      <c r="B89" t="s">
        <v>240</v>
      </c>
      <c r="C89" t="s">
        <v>116</v>
      </c>
      <c r="D89" t="s">
        <v>82</v>
      </c>
      <c r="E89" s="4">
        <v>42544</v>
      </c>
      <c r="F89" t="s">
        <v>65</v>
      </c>
      <c r="G89" t="s">
        <v>49</v>
      </c>
      <c r="H89" t="s">
        <v>75</v>
      </c>
      <c r="I89" t="s">
        <v>92</v>
      </c>
      <c r="J89">
        <v>4</v>
      </c>
      <c r="K89">
        <v>1246</v>
      </c>
      <c r="L89">
        <v>115.99</v>
      </c>
      <c r="M89">
        <v>23550</v>
      </c>
      <c r="N89" t="s">
        <v>26</v>
      </c>
      <c r="O89" t="s">
        <v>62</v>
      </c>
      <c r="P89" t="s">
        <v>51</v>
      </c>
      <c r="Q89">
        <v>36</v>
      </c>
      <c r="R89">
        <v>206.7</v>
      </c>
    </row>
    <row r="90" spans="1:18" x14ac:dyDescent="0.3">
      <c r="A90" t="s">
        <v>241</v>
      </c>
      <c r="B90" t="s">
        <v>242</v>
      </c>
      <c r="C90" t="s">
        <v>116</v>
      </c>
      <c r="D90" t="s">
        <v>42</v>
      </c>
      <c r="E90" s="4">
        <v>41161</v>
      </c>
      <c r="F90" t="s">
        <v>43</v>
      </c>
      <c r="G90" t="s">
        <v>44</v>
      </c>
      <c r="H90" t="s">
        <v>70</v>
      </c>
      <c r="I90" t="s">
        <v>92</v>
      </c>
      <c r="J90">
        <v>6</v>
      </c>
      <c r="K90">
        <v>447</v>
      </c>
      <c r="L90">
        <v>3584.98</v>
      </c>
      <c r="M90">
        <v>25291</v>
      </c>
      <c r="N90" t="s">
        <v>36</v>
      </c>
      <c r="O90" t="s">
        <v>27</v>
      </c>
      <c r="P90" t="s">
        <v>25</v>
      </c>
      <c r="Q90">
        <v>5</v>
      </c>
      <c r="R90">
        <v>54.54</v>
      </c>
    </row>
    <row r="91" spans="1:18" x14ac:dyDescent="0.3">
      <c r="A91" t="s">
        <v>243</v>
      </c>
      <c r="B91" t="s">
        <v>244</v>
      </c>
      <c r="C91" t="s">
        <v>31</v>
      </c>
      <c r="D91" t="s">
        <v>82</v>
      </c>
      <c r="E91" s="4">
        <v>44908</v>
      </c>
      <c r="F91" t="s">
        <v>69</v>
      </c>
      <c r="G91" t="s">
        <v>83</v>
      </c>
      <c r="H91" t="s">
        <v>24</v>
      </c>
      <c r="I91" t="s">
        <v>34</v>
      </c>
      <c r="J91">
        <v>2</v>
      </c>
      <c r="K91">
        <v>1334</v>
      </c>
      <c r="L91">
        <v>353.43</v>
      </c>
      <c r="M91">
        <v>42401</v>
      </c>
      <c r="N91" t="s">
        <v>26</v>
      </c>
      <c r="O91" t="s">
        <v>27</v>
      </c>
      <c r="P91" t="s">
        <v>51</v>
      </c>
      <c r="Q91">
        <v>50</v>
      </c>
      <c r="R91">
        <v>199.74</v>
      </c>
    </row>
    <row r="92" spans="1:18" x14ac:dyDescent="0.3">
      <c r="A92" t="s">
        <v>245</v>
      </c>
      <c r="B92" t="s">
        <v>246</v>
      </c>
      <c r="C92" t="s">
        <v>31</v>
      </c>
      <c r="D92" t="s">
        <v>59</v>
      </c>
      <c r="E92" s="4">
        <v>40488</v>
      </c>
      <c r="F92" t="s">
        <v>22</v>
      </c>
      <c r="G92" t="s">
        <v>49</v>
      </c>
      <c r="H92" t="s">
        <v>34</v>
      </c>
      <c r="I92" t="s">
        <v>25</v>
      </c>
      <c r="J92">
        <v>5</v>
      </c>
      <c r="K92">
        <v>1358</v>
      </c>
      <c r="L92">
        <v>4785.55</v>
      </c>
      <c r="M92">
        <v>35488</v>
      </c>
      <c r="N92" t="s">
        <v>61</v>
      </c>
      <c r="O92" t="s">
        <v>56</v>
      </c>
      <c r="P92" t="s">
        <v>51</v>
      </c>
      <c r="Q92">
        <v>16</v>
      </c>
      <c r="R92">
        <v>13.49</v>
      </c>
    </row>
    <row r="93" spans="1:18" x14ac:dyDescent="0.3">
      <c r="A93" t="s">
        <v>247</v>
      </c>
      <c r="B93" t="s">
        <v>248</v>
      </c>
      <c r="C93" t="s">
        <v>20</v>
      </c>
      <c r="D93" t="s">
        <v>32</v>
      </c>
      <c r="E93" s="4">
        <v>44674</v>
      </c>
      <c r="F93" t="s">
        <v>48</v>
      </c>
      <c r="G93" t="s">
        <v>44</v>
      </c>
      <c r="H93" t="s">
        <v>70</v>
      </c>
      <c r="I93" t="s">
        <v>76</v>
      </c>
      <c r="J93">
        <v>1</v>
      </c>
      <c r="K93">
        <v>1492</v>
      </c>
      <c r="L93">
        <v>3768.48</v>
      </c>
      <c r="M93">
        <v>22721</v>
      </c>
      <c r="N93" t="s">
        <v>36</v>
      </c>
      <c r="O93" t="s">
        <v>56</v>
      </c>
      <c r="P93" t="s">
        <v>25</v>
      </c>
      <c r="Q93">
        <v>19</v>
      </c>
      <c r="R93">
        <v>169.11</v>
      </c>
    </row>
    <row r="94" spans="1:18" x14ac:dyDescent="0.3">
      <c r="A94" t="s">
        <v>249</v>
      </c>
      <c r="B94" t="s">
        <v>250</v>
      </c>
      <c r="C94" t="s">
        <v>41</v>
      </c>
      <c r="D94" t="s">
        <v>109</v>
      </c>
      <c r="E94" s="4">
        <v>46007</v>
      </c>
      <c r="F94" t="s">
        <v>43</v>
      </c>
      <c r="G94" t="s">
        <v>23</v>
      </c>
      <c r="H94" t="s">
        <v>55</v>
      </c>
      <c r="I94" t="s">
        <v>51</v>
      </c>
      <c r="J94">
        <v>3</v>
      </c>
      <c r="K94">
        <v>338</v>
      </c>
      <c r="L94">
        <v>1681.74</v>
      </c>
      <c r="M94">
        <v>21140</v>
      </c>
      <c r="N94" t="s">
        <v>26</v>
      </c>
      <c r="O94" t="s">
        <v>37</v>
      </c>
      <c r="P94" t="s">
        <v>28</v>
      </c>
      <c r="Q94">
        <v>44</v>
      </c>
      <c r="R94">
        <v>106.26</v>
      </c>
    </row>
    <row r="95" spans="1:18" x14ac:dyDescent="0.3">
      <c r="A95" t="s">
        <v>251</v>
      </c>
      <c r="B95" t="s">
        <v>252</v>
      </c>
      <c r="C95" t="s">
        <v>41</v>
      </c>
      <c r="D95" t="s">
        <v>59</v>
      </c>
      <c r="E95" s="4">
        <v>41963</v>
      </c>
      <c r="F95" t="s">
        <v>60</v>
      </c>
      <c r="G95" t="s">
        <v>102</v>
      </c>
      <c r="H95" t="s">
        <v>24</v>
      </c>
      <c r="I95" t="s">
        <v>25</v>
      </c>
      <c r="J95">
        <v>1</v>
      </c>
      <c r="K95">
        <v>938</v>
      </c>
      <c r="L95">
        <v>4146.6400000000003</v>
      </c>
      <c r="M95">
        <v>12317</v>
      </c>
      <c r="N95" t="s">
        <v>26</v>
      </c>
      <c r="O95" t="s">
        <v>56</v>
      </c>
      <c r="P95" t="s">
        <v>38</v>
      </c>
      <c r="Q95">
        <v>7</v>
      </c>
      <c r="R95">
        <v>197.15</v>
      </c>
    </row>
    <row r="96" spans="1:18" x14ac:dyDescent="0.3">
      <c r="A96" t="s">
        <v>253</v>
      </c>
      <c r="B96" t="s">
        <v>254</v>
      </c>
      <c r="C96" t="s">
        <v>97</v>
      </c>
      <c r="D96" t="s">
        <v>109</v>
      </c>
      <c r="E96" s="4">
        <v>44441</v>
      </c>
      <c r="F96" t="s">
        <v>43</v>
      </c>
      <c r="G96" t="s">
        <v>102</v>
      </c>
      <c r="H96" t="s">
        <v>55</v>
      </c>
      <c r="I96" t="s">
        <v>51</v>
      </c>
      <c r="J96">
        <v>7</v>
      </c>
      <c r="K96">
        <v>319</v>
      </c>
      <c r="L96">
        <v>4638.46</v>
      </c>
      <c r="M96">
        <v>41893</v>
      </c>
      <c r="N96" t="s">
        <v>26</v>
      </c>
      <c r="O96" t="s">
        <v>56</v>
      </c>
      <c r="P96" t="s">
        <v>45</v>
      </c>
      <c r="Q96">
        <v>47</v>
      </c>
      <c r="R96">
        <v>145.38</v>
      </c>
    </row>
    <row r="97" spans="1:18" x14ac:dyDescent="0.3">
      <c r="A97" t="s">
        <v>255</v>
      </c>
      <c r="B97" t="s">
        <v>256</v>
      </c>
      <c r="C97" t="s">
        <v>31</v>
      </c>
      <c r="D97" t="s">
        <v>109</v>
      </c>
      <c r="E97" s="4">
        <v>41135</v>
      </c>
      <c r="F97" t="s">
        <v>69</v>
      </c>
      <c r="G97" t="s">
        <v>83</v>
      </c>
      <c r="H97" t="s">
        <v>24</v>
      </c>
      <c r="I97" t="s">
        <v>76</v>
      </c>
      <c r="J97">
        <v>7</v>
      </c>
      <c r="K97">
        <v>799</v>
      </c>
      <c r="L97">
        <v>2262.08</v>
      </c>
      <c r="M97">
        <v>30099</v>
      </c>
      <c r="N97" t="s">
        <v>26</v>
      </c>
      <c r="O97" t="s">
        <v>37</v>
      </c>
      <c r="P97" t="s">
        <v>28</v>
      </c>
      <c r="Q97">
        <v>30</v>
      </c>
      <c r="R97">
        <v>49.59</v>
      </c>
    </row>
    <row r="98" spans="1:18" x14ac:dyDescent="0.3">
      <c r="A98" t="s">
        <v>257</v>
      </c>
      <c r="B98" t="s">
        <v>258</v>
      </c>
      <c r="C98" t="s">
        <v>116</v>
      </c>
      <c r="D98" t="s">
        <v>21</v>
      </c>
      <c r="E98" s="4">
        <v>41462</v>
      </c>
      <c r="F98" t="s">
        <v>43</v>
      </c>
      <c r="G98" t="s">
        <v>49</v>
      </c>
      <c r="H98" t="s">
        <v>55</v>
      </c>
      <c r="I98" t="s">
        <v>92</v>
      </c>
      <c r="J98">
        <v>0</v>
      </c>
      <c r="K98">
        <v>941</v>
      </c>
      <c r="L98">
        <v>1273.3800000000001</v>
      </c>
      <c r="M98">
        <v>13900</v>
      </c>
      <c r="N98" t="s">
        <v>26</v>
      </c>
      <c r="O98" t="s">
        <v>62</v>
      </c>
      <c r="P98" t="s">
        <v>51</v>
      </c>
      <c r="Q98">
        <v>43</v>
      </c>
      <c r="R98">
        <v>152.25</v>
      </c>
    </row>
    <row r="99" spans="1:18" x14ac:dyDescent="0.3">
      <c r="A99" t="s">
        <v>259</v>
      </c>
      <c r="B99" t="s">
        <v>260</v>
      </c>
      <c r="C99" t="s">
        <v>79</v>
      </c>
      <c r="D99" t="s">
        <v>82</v>
      </c>
      <c r="E99" s="4">
        <v>41980</v>
      </c>
      <c r="F99" t="s">
        <v>69</v>
      </c>
      <c r="G99" t="s">
        <v>33</v>
      </c>
      <c r="H99" t="s">
        <v>24</v>
      </c>
      <c r="I99" t="s">
        <v>35</v>
      </c>
      <c r="J99">
        <v>5</v>
      </c>
      <c r="K99">
        <v>1113</v>
      </c>
      <c r="L99">
        <v>3800.5</v>
      </c>
      <c r="M99">
        <v>30478</v>
      </c>
      <c r="N99" t="s">
        <v>36</v>
      </c>
      <c r="O99" t="s">
        <v>56</v>
      </c>
      <c r="P99" t="s">
        <v>51</v>
      </c>
      <c r="Q99">
        <v>21</v>
      </c>
      <c r="R99">
        <v>198.12</v>
      </c>
    </row>
    <row r="100" spans="1:18" x14ac:dyDescent="0.3">
      <c r="A100" t="s">
        <v>261</v>
      </c>
      <c r="B100" t="s">
        <v>262</v>
      </c>
      <c r="C100" t="s">
        <v>20</v>
      </c>
      <c r="D100" t="s">
        <v>109</v>
      </c>
      <c r="E100" s="4">
        <v>45451</v>
      </c>
      <c r="F100" t="s">
        <v>60</v>
      </c>
      <c r="G100" t="s">
        <v>49</v>
      </c>
      <c r="H100" t="s">
        <v>55</v>
      </c>
      <c r="I100" t="s">
        <v>35</v>
      </c>
      <c r="J100">
        <v>2</v>
      </c>
      <c r="K100">
        <v>712</v>
      </c>
      <c r="L100">
        <v>2786.01</v>
      </c>
      <c r="M100">
        <v>45389</v>
      </c>
      <c r="N100" t="s">
        <v>61</v>
      </c>
      <c r="O100" t="s">
        <v>37</v>
      </c>
      <c r="P100" t="s">
        <v>28</v>
      </c>
      <c r="Q100">
        <v>28</v>
      </c>
      <c r="R100">
        <v>220.17</v>
      </c>
    </row>
    <row r="101" spans="1:18" x14ac:dyDescent="0.3">
      <c r="A101" t="s">
        <v>263</v>
      </c>
      <c r="B101" t="s">
        <v>264</v>
      </c>
      <c r="C101" t="s">
        <v>79</v>
      </c>
      <c r="D101" t="s">
        <v>59</v>
      </c>
      <c r="E101" s="4">
        <v>43813</v>
      </c>
      <c r="F101" t="s">
        <v>60</v>
      </c>
      <c r="G101" t="s">
        <v>33</v>
      </c>
      <c r="H101" t="s">
        <v>24</v>
      </c>
      <c r="I101" t="s">
        <v>76</v>
      </c>
      <c r="J101">
        <v>7</v>
      </c>
      <c r="K101">
        <v>1013</v>
      </c>
      <c r="L101">
        <v>3700.93</v>
      </c>
      <c r="M101">
        <v>4332</v>
      </c>
      <c r="N101" t="s">
        <v>26</v>
      </c>
      <c r="O101" t="s">
        <v>27</v>
      </c>
      <c r="P101" t="s">
        <v>51</v>
      </c>
      <c r="Q101">
        <v>20</v>
      </c>
      <c r="R101">
        <v>17.23</v>
      </c>
    </row>
    <row r="102" spans="1:18" x14ac:dyDescent="0.3">
      <c r="A102" t="s">
        <v>265</v>
      </c>
      <c r="B102" t="s">
        <v>266</v>
      </c>
      <c r="C102" t="s">
        <v>20</v>
      </c>
      <c r="D102" t="s">
        <v>32</v>
      </c>
      <c r="E102" s="4">
        <v>45753</v>
      </c>
      <c r="F102" t="s">
        <v>69</v>
      </c>
      <c r="G102" t="s">
        <v>44</v>
      </c>
      <c r="H102" t="s">
        <v>34</v>
      </c>
      <c r="I102" t="s">
        <v>76</v>
      </c>
      <c r="J102">
        <v>1</v>
      </c>
      <c r="K102">
        <v>882</v>
      </c>
      <c r="L102">
        <v>3278.91</v>
      </c>
      <c r="M102">
        <v>15883</v>
      </c>
      <c r="N102" t="s">
        <v>61</v>
      </c>
      <c r="O102" t="s">
        <v>56</v>
      </c>
      <c r="P102" t="s">
        <v>45</v>
      </c>
      <c r="Q102">
        <v>30</v>
      </c>
      <c r="R102">
        <v>3.24</v>
      </c>
    </row>
    <row r="103" spans="1:18" x14ac:dyDescent="0.3">
      <c r="A103" t="s">
        <v>267</v>
      </c>
      <c r="B103" t="s">
        <v>268</v>
      </c>
      <c r="C103" t="s">
        <v>97</v>
      </c>
      <c r="D103" t="s">
        <v>59</v>
      </c>
      <c r="E103" s="4">
        <v>46115</v>
      </c>
      <c r="F103" t="s">
        <v>65</v>
      </c>
      <c r="G103" t="s">
        <v>49</v>
      </c>
      <c r="H103" t="s">
        <v>55</v>
      </c>
      <c r="I103" t="s">
        <v>51</v>
      </c>
      <c r="J103">
        <v>3</v>
      </c>
      <c r="K103">
        <v>1177</v>
      </c>
      <c r="L103">
        <v>877.67</v>
      </c>
      <c r="M103">
        <v>23226</v>
      </c>
      <c r="N103" t="s">
        <v>36</v>
      </c>
      <c r="O103" t="s">
        <v>56</v>
      </c>
      <c r="P103" t="s">
        <v>28</v>
      </c>
      <c r="Q103">
        <v>24</v>
      </c>
      <c r="R103">
        <v>127.31</v>
      </c>
    </row>
    <row r="104" spans="1:18" x14ac:dyDescent="0.3">
      <c r="A104" t="s">
        <v>269</v>
      </c>
      <c r="B104" t="s">
        <v>270</v>
      </c>
      <c r="C104" t="s">
        <v>68</v>
      </c>
      <c r="D104" t="s">
        <v>42</v>
      </c>
      <c r="E104" s="4">
        <v>44964</v>
      </c>
      <c r="F104" t="s">
        <v>43</v>
      </c>
      <c r="G104" t="s">
        <v>49</v>
      </c>
      <c r="H104" t="s">
        <v>70</v>
      </c>
      <c r="I104" t="s">
        <v>51</v>
      </c>
      <c r="J104">
        <v>3</v>
      </c>
      <c r="K104">
        <v>330</v>
      </c>
      <c r="L104">
        <v>3370.75</v>
      </c>
      <c r="M104">
        <v>2551</v>
      </c>
      <c r="N104" t="s">
        <v>26</v>
      </c>
      <c r="O104" t="s">
        <v>27</v>
      </c>
      <c r="P104" t="s">
        <v>38</v>
      </c>
      <c r="Q104">
        <v>9</v>
      </c>
      <c r="R104">
        <v>69.510000000000005</v>
      </c>
    </row>
    <row r="105" spans="1:18" x14ac:dyDescent="0.3">
      <c r="A105" t="s">
        <v>271</v>
      </c>
      <c r="B105" t="s">
        <v>272</v>
      </c>
      <c r="C105" t="s">
        <v>41</v>
      </c>
      <c r="D105" t="s">
        <v>59</v>
      </c>
      <c r="E105" s="4">
        <v>43575</v>
      </c>
      <c r="F105" t="s">
        <v>60</v>
      </c>
      <c r="G105" t="s">
        <v>33</v>
      </c>
      <c r="H105" t="s">
        <v>34</v>
      </c>
      <c r="I105" t="s">
        <v>34</v>
      </c>
      <c r="J105">
        <v>1</v>
      </c>
      <c r="K105">
        <v>511</v>
      </c>
      <c r="L105">
        <v>307.97000000000003</v>
      </c>
      <c r="M105">
        <v>46836</v>
      </c>
      <c r="N105" t="s">
        <v>26</v>
      </c>
      <c r="O105" t="s">
        <v>37</v>
      </c>
      <c r="P105" t="s">
        <v>25</v>
      </c>
      <c r="Q105">
        <v>5</v>
      </c>
      <c r="R105">
        <v>186.36</v>
      </c>
    </row>
    <row r="106" spans="1:18" x14ac:dyDescent="0.3">
      <c r="A106" t="s">
        <v>273</v>
      </c>
      <c r="B106" t="s">
        <v>274</v>
      </c>
      <c r="C106" t="s">
        <v>20</v>
      </c>
      <c r="D106" t="s">
        <v>42</v>
      </c>
      <c r="E106" s="4">
        <v>45663</v>
      </c>
      <c r="F106" t="s">
        <v>65</v>
      </c>
      <c r="G106" t="s">
        <v>23</v>
      </c>
      <c r="H106" t="s">
        <v>50</v>
      </c>
      <c r="I106" t="s">
        <v>76</v>
      </c>
      <c r="J106">
        <v>6</v>
      </c>
      <c r="K106">
        <v>342</v>
      </c>
      <c r="L106">
        <v>374.95</v>
      </c>
      <c r="M106">
        <v>7736</v>
      </c>
      <c r="N106" t="s">
        <v>26</v>
      </c>
      <c r="O106" t="s">
        <v>27</v>
      </c>
      <c r="P106" t="s">
        <v>25</v>
      </c>
      <c r="Q106">
        <v>36</v>
      </c>
      <c r="R106">
        <v>120.74</v>
      </c>
    </row>
    <row r="107" spans="1:18" x14ac:dyDescent="0.3">
      <c r="A107" t="s">
        <v>275</v>
      </c>
      <c r="B107" t="s">
        <v>276</v>
      </c>
      <c r="C107" t="s">
        <v>31</v>
      </c>
      <c r="D107" t="s">
        <v>82</v>
      </c>
      <c r="E107" s="4">
        <v>42780</v>
      </c>
      <c r="F107" t="s">
        <v>65</v>
      </c>
      <c r="G107" t="s">
        <v>49</v>
      </c>
      <c r="H107" t="s">
        <v>24</v>
      </c>
      <c r="I107" t="s">
        <v>34</v>
      </c>
      <c r="J107">
        <v>5</v>
      </c>
      <c r="K107">
        <v>36</v>
      </c>
      <c r="L107">
        <v>2598.2600000000002</v>
      </c>
      <c r="M107">
        <v>3527</v>
      </c>
      <c r="N107" t="s">
        <v>61</v>
      </c>
      <c r="O107" t="s">
        <v>37</v>
      </c>
      <c r="P107" t="s">
        <v>38</v>
      </c>
      <c r="Q107">
        <v>6</v>
      </c>
      <c r="R107">
        <v>25.61</v>
      </c>
    </row>
    <row r="108" spans="1:18" x14ac:dyDescent="0.3">
      <c r="A108" t="s">
        <v>277</v>
      </c>
      <c r="B108" t="s">
        <v>278</v>
      </c>
      <c r="C108" t="s">
        <v>116</v>
      </c>
      <c r="D108" t="s">
        <v>82</v>
      </c>
      <c r="E108" s="4">
        <v>42634</v>
      </c>
      <c r="F108" t="s">
        <v>48</v>
      </c>
      <c r="G108" t="s">
        <v>102</v>
      </c>
      <c r="H108" t="s">
        <v>70</v>
      </c>
      <c r="I108" t="s">
        <v>35</v>
      </c>
      <c r="J108">
        <v>8</v>
      </c>
      <c r="K108">
        <v>740</v>
      </c>
      <c r="L108">
        <v>1378.78</v>
      </c>
      <c r="M108">
        <v>23549</v>
      </c>
      <c r="N108" t="s">
        <v>36</v>
      </c>
      <c r="O108" t="s">
        <v>27</v>
      </c>
      <c r="P108" t="s">
        <v>28</v>
      </c>
      <c r="Q108">
        <v>35</v>
      </c>
      <c r="R108">
        <v>12.58</v>
      </c>
    </row>
    <row r="109" spans="1:18" x14ac:dyDescent="0.3">
      <c r="A109" t="s">
        <v>279</v>
      </c>
      <c r="B109" t="s">
        <v>280</v>
      </c>
      <c r="C109" t="s">
        <v>97</v>
      </c>
      <c r="D109" t="s">
        <v>32</v>
      </c>
      <c r="E109" s="4">
        <v>43462</v>
      </c>
      <c r="F109" t="s">
        <v>48</v>
      </c>
      <c r="G109" t="s">
        <v>44</v>
      </c>
      <c r="H109" t="s">
        <v>70</v>
      </c>
      <c r="I109" t="s">
        <v>25</v>
      </c>
      <c r="J109">
        <v>8</v>
      </c>
      <c r="K109">
        <v>951</v>
      </c>
      <c r="L109">
        <v>1789.26</v>
      </c>
      <c r="M109">
        <v>5680</v>
      </c>
      <c r="N109" t="s">
        <v>61</v>
      </c>
      <c r="O109" t="s">
        <v>37</v>
      </c>
      <c r="P109" t="s">
        <v>51</v>
      </c>
      <c r="Q109">
        <v>8</v>
      </c>
      <c r="R109">
        <v>238.31</v>
      </c>
    </row>
    <row r="110" spans="1:18" x14ac:dyDescent="0.3">
      <c r="A110" t="s">
        <v>281</v>
      </c>
      <c r="B110" t="s">
        <v>282</v>
      </c>
      <c r="C110" t="s">
        <v>79</v>
      </c>
      <c r="D110" t="s">
        <v>32</v>
      </c>
      <c r="E110" s="4">
        <v>44987</v>
      </c>
      <c r="F110" t="s">
        <v>69</v>
      </c>
      <c r="G110" t="s">
        <v>33</v>
      </c>
      <c r="H110" t="s">
        <v>70</v>
      </c>
      <c r="I110" t="s">
        <v>76</v>
      </c>
      <c r="J110">
        <v>0</v>
      </c>
      <c r="K110">
        <v>371</v>
      </c>
      <c r="L110">
        <v>1759.14</v>
      </c>
      <c r="M110">
        <v>16852</v>
      </c>
      <c r="N110" t="s">
        <v>26</v>
      </c>
      <c r="O110" t="s">
        <v>37</v>
      </c>
      <c r="P110" t="s">
        <v>25</v>
      </c>
      <c r="Q110">
        <v>18</v>
      </c>
      <c r="R110">
        <v>240.61</v>
      </c>
    </row>
    <row r="111" spans="1:18" x14ac:dyDescent="0.3">
      <c r="A111" t="s">
        <v>283</v>
      </c>
      <c r="B111" t="s">
        <v>284</v>
      </c>
      <c r="C111" t="s">
        <v>20</v>
      </c>
      <c r="D111" t="s">
        <v>32</v>
      </c>
      <c r="E111" s="4">
        <v>45610</v>
      </c>
      <c r="F111" t="s">
        <v>69</v>
      </c>
      <c r="G111" t="s">
        <v>102</v>
      </c>
      <c r="H111" t="s">
        <v>50</v>
      </c>
      <c r="I111" t="s">
        <v>25</v>
      </c>
      <c r="J111">
        <v>0</v>
      </c>
      <c r="K111">
        <v>1412</v>
      </c>
      <c r="L111">
        <v>2123.14</v>
      </c>
      <c r="M111">
        <v>27304</v>
      </c>
      <c r="N111" t="s">
        <v>61</v>
      </c>
      <c r="O111" t="s">
        <v>37</v>
      </c>
      <c r="P111" t="s">
        <v>45</v>
      </c>
      <c r="Q111">
        <v>31</v>
      </c>
      <c r="R111">
        <v>159.76</v>
      </c>
    </row>
    <row r="112" spans="1:18" x14ac:dyDescent="0.3">
      <c r="A112" t="s">
        <v>285</v>
      </c>
      <c r="B112" t="s">
        <v>286</v>
      </c>
      <c r="C112" t="s">
        <v>97</v>
      </c>
      <c r="D112" t="s">
        <v>42</v>
      </c>
      <c r="E112" s="4">
        <v>45991</v>
      </c>
      <c r="F112" t="s">
        <v>60</v>
      </c>
      <c r="G112" t="s">
        <v>33</v>
      </c>
      <c r="H112" t="s">
        <v>70</v>
      </c>
      <c r="I112" t="s">
        <v>34</v>
      </c>
      <c r="J112">
        <v>7</v>
      </c>
      <c r="K112">
        <v>1205</v>
      </c>
      <c r="L112">
        <v>301.61</v>
      </c>
      <c r="M112">
        <v>29605</v>
      </c>
      <c r="N112" t="s">
        <v>36</v>
      </c>
      <c r="O112" t="s">
        <v>62</v>
      </c>
      <c r="P112" t="s">
        <v>51</v>
      </c>
      <c r="Q112">
        <v>7</v>
      </c>
      <c r="R112">
        <v>159.99</v>
      </c>
    </row>
    <row r="113" spans="1:18" x14ac:dyDescent="0.3">
      <c r="A113" t="s">
        <v>287</v>
      </c>
      <c r="B113" t="s">
        <v>288</v>
      </c>
      <c r="C113" t="s">
        <v>97</v>
      </c>
      <c r="D113" t="s">
        <v>82</v>
      </c>
      <c r="E113" s="4">
        <v>45428</v>
      </c>
      <c r="F113" t="s">
        <v>69</v>
      </c>
      <c r="G113" t="s">
        <v>23</v>
      </c>
      <c r="H113" t="s">
        <v>34</v>
      </c>
      <c r="I113" t="s">
        <v>92</v>
      </c>
      <c r="J113">
        <v>0</v>
      </c>
      <c r="K113">
        <v>1063</v>
      </c>
      <c r="L113">
        <v>721.1</v>
      </c>
      <c r="M113">
        <v>42048</v>
      </c>
      <c r="N113" t="s">
        <v>26</v>
      </c>
      <c r="O113" t="s">
        <v>56</v>
      </c>
      <c r="P113" t="s">
        <v>52</v>
      </c>
      <c r="Q113">
        <v>17</v>
      </c>
      <c r="R113">
        <v>95.65</v>
      </c>
    </row>
    <row r="114" spans="1:18" x14ac:dyDescent="0.3">
      <c r="A114" t="s">
        <v>289</v>
      </c>
      <c r="B114" t="s">
        <v>290</v>
      </c>
      <c r="C114" t="s">
        <v>20</v>
      </c>
      <c r="D114" t="s">
        <v>82</v>
      </c>
      <c r="E114" s="4">
        <v>44426</v>
      </c>
      <c r="F114" t="s">
        <v>69</v>
      </c>
      <c r="G114" t="s">
        <v>102</v>
      </c>
      <c r="H114" t="s">
        <v>70</v>
      </c>
      <c r="I114" t="s">
        <v>25</v>
      </c>
      <c r="J114">
        <v>4</v>
      </c>
      <c r="K114">
        <v>171</v>
      </c>
      <c r="L114">
        <v>4682.4399999999996</v>
      </c>
      <c r="M114">
        <v>41863</v>
      </c>
      <c r="N114" t="s">
        <v>26</v>
      </c>
      <c r="O114" t="s">
        <v>62</v>
      </c>
      <c r="P114" t="s">
        <v>51</v>
      </c>
      <c r="Q114">
        <v>45</v>
      </c>
      <c r="R114">
        <v>108.69</v>
      </c>
    </row>
    <row r="115" spans="1:18" x14ac:dyDescent="0.3">
      <c r="A115" t="s">
        <v>291</v>
      </c>
      <c r="B115" t="s">
        <v>292</v>
      </c>
      <c r="C115" t="s">
        <v>68</v>
      </c>
      <c r="D115" t="s">
        <v>59</v>
      </c>
      <c r="E115" s="4">
        <v>41706</v>
      </c>
      <c r="F115" t="s">
        <v>69</v>
      </c>
      <c r="G115" t="s">
        <v>49</v>
      </c>
      <c r="H115" t="s">
        <v>34</v>
      </c>
      <c r="I115" t="s">
        <v>51</v>
      </c>
      <c r="J115">
        <v>8</v>
      </c>
      <c r="K115">
        <v>885</v>
      </c>
      <c r="L115">
        <v>469.61</v>
      </c>
      <c r="M115">
        <v>31851</v>
      </c>
      <c r="N115" t="s">
        <v>26</v>
      </c>
      <c r="O115" t="s">
        <v>56</v>
      </c>
      <c r="P115" t="s">
        <v>45</v>
      </c>
      <c r="Q115">
        <v>5</v>
      </c>
      <c r="R115">
        <v>245.43</v>
      </c>
    </row>
    <row r="116" spans="1:18" x14ac:dyDescent="0.3">
      <c r="A116" t="s">
        <v>293</v>
      </c>
      <c r="B116" t="s">
        <v>294</v>
      </c>
      <c r="C116" t="s">
        <v>97</v>
      </c>
      <c r="D116" t="s">
        <v>32</v>
      </c>
      <c r="E116" s="4">
        <v>40268</v>
      </c>
      <c r="F116" t="s">
        <v>22</v>
      </c>
      <c r="G116" t="s">
        <v>23</v>
      </c>
      <c r="H116" t="s">
        <v>55</v>
      </c>
      <c r="I116" t="s">
        <v>76</v>
      </c>
      <c r="J116">
        <v>3</v>
      </c>
      <c r="K116">
        <v>1387</v>
      </c>
      <c r="L116">
        <v>3156.21</v>
      </c>
      <c r="M116">
        <v>19862</v>
      </c>
      <c r="N116" t="s">
        <v>26</v>
      </c>
      <c r="O116" t="s">
        <v>27</v>
      </c>
      <c r="P116" t="s">
        <v>25</v>
      </c>
      <c r="Q116">
        <v>4</v>
      </c>
      <c r="R116">
        <v>74.349999999999994</v>
      </c>
    </row>
    <row r="117" spans="1:18" x14ac:dyDescent="0.3">
      <c r="A117" t="s">
        <v>295</v>
      </c>
      <c r="B117" t="s">
        <v>296</v>
      </c>
      <c r="C117" t="s">
        <v>116</v>
      </c>
      <c r="D117" t="s">
        <v>42</v>
      </c>
      <c r="E117" s="4">
        <v>43503</v>
      </c>
      <c r="F117" t="s">
        <v>69</v>
      </c>
      <c r="G117" t="s">
        <v>33</v>
      </c>
      <c r="H117" t="s">
        <v>75</v>
      </c>
      <c r="I117" t="s">
        <v>25</v>
      </c>
      <c r="J117">
        <v>1</v>
      </c>
      <c r="K117">
        <v>1266</v>
      </c>
      <c r="L117">
        <v>495.83</v>
      </c>
      <c r="M117">
        <v>47537</v>
      </c>
      <c r="N117" t="s">
        <v>26</v>
      </c>
      <c r="O117" t="s">
        <v>37</v>
      </c>
      <c r="P117" t="s">
        <v>51</v>
      </c>
      <c r="Q117">
        <v>26</v>
      </c>
      <c r="R117">
        <v>69.89</v>
      </c>
    </row>
    <row r="118" spans="1:18" x14ac:dyDescent="0.3">
      <c r="A118" t="s">
        <v>297</v>
      </c>
      <c r="B118" t="s">
        <v>298</v>
      </c>
      <c r="C118" t="s">
        <v>31</v>
      </c>
      <c r="D118" t="s">
        <v>32</v>
      </c>
      <c r="E118" s="4">
        <v>44290</v>
      </c>
      <c r="F118" t="s">
        <v>65</v>
      </c>
      <c r="G118" t="s">
        <v>49</v>
      </c>
      <c r="H118" t="s">
        <v>70</v>
      </c>
      <c r="I118" t="s">
        <v>34</v>
      </c>
      <c r="J118">
        <v>8</v>
      </c>
      <c r="K118">
        <v>1285</v>
      </c>
      <c r="L118">
        <v>4271.51</v>
      </c>
      <c r="M118">
        <v>12386</v>
      </c>
      <c r="N118" t="s">
        <v>61</v>
      </c>
      <c r="O118" t="s">
        <v>27</v>
      </c>
      <c r="P118" t="s">
        <v>45</v>
      </c>
      <c r="Q118">
        <v>2</v>
      </c>
      <c r="R118">
        <v>154.88</v>
      </c>
    </row>
    <row r="119" spans="1:18" x14ac:dyDescent="0.3">
      <c r="A119" t="s">
        <v>299</v>
      </c>
      <c r="B119" t="s">
        <v>300</v>
      </c>
      <c r="C119" t="s">
        <v>116</v>
      </c>
      <c r="D119" t="s">
        <v>109</v>
      </c>
      <c r="E119" s="4">
        <v>44521</v>
      </c>
      <c r="F119" t="s">
        <v>48</v>
      </c>
      <c r="G119" t="s">
        <v>44</v>
      </c>
      <c r="H119" t="s">
        <v>55</v>
      </c>
      <c r="I119" t="s">
        <v>76</v>
      </c>
      <c r="J119">
        <v>5</v>
      </c>
      <c r="K119">
        <v>27</v>
      </c>
      <c r="L119">
        <v>4753.93</v>
      </c>
      <c r="M119">
        <v>45884</v>
      </c>
      <c r="N119" t="s">
        <v>61</v>
      </c>
      <c r="O119" t="s">
        <v>27</v>
      </c>
      <c r="P119" t="s">
        <v>45</v>
      </c>
      <c r="Q119">
        <v>37</v>
      </c>
      <c r="R119">
        <v>210.4</v>
      </c>
    </row>
    <row r="120" spans="1:18" x14ac:dyDescent="0.3">
      <c r="A120" t="s">
        <v>301</v>
      </c>
      <c r="B120" t="s">
        <v>302</v>
      </c>
      <c r="C120" t="s">
        <v>116</v>
      </c>
      <c r="D120" t="s">
        <v>21</v>
      </c>
      <c r="E120" s="4">
        <v>40485</v>
      </c>
      <c r="F120" t="s">
        <v>22</v>
      </c>
      <c r="G120" t="s">
        <v>44</v>
      </c>
      <c r="H120" t="s">
        <v>70</v>
      </c>
      <c r="I120" t="s">
        <v>25</v>
      </c>
      <c r="J120">
        <v>4</v>
      </c>
      <c r="K120">
        <v>100</v>
      </c>
      <c r="L120">
        <v>944.63</v>
      </c>
      <c r="M120">
        <v>1122</v>
      </c>
      <c r="N120" t="s">
        <v>36</v>
      </c>
      <c r="O120" t="s">
        <v>27</v>
      </c>
      <c r="P120" t="s">
        <v>52</v>
      </c>
      <c r="Q120">
        <v>7</v>
      </c>
      <c r="R120">
        <v>106.83</v>
      </c>
    </row>
    <row r="121" spans="1:18" x14ac:dyDescent="0.3">
      <c r="A121" t="s">
        <v>303</v>
      </c>
      <c r="B121" t="s">
        <v>304</v>
      </c>
      <c r="C121" t="s">
        <v>97</v>
      </c>
      <c r="D121" t="s">
        <v>42</v>
      </c>
      <c r="E121" s="4">
        <v>42180</v>
      </c>
      <c r="F121" t="s">
        <v>48</v>
      </c>
      <c r="G121" t="s">
        <v>23</v>
      </c>
      <c r="H121" t="s">
        <v>55</v>
      </c>
      <c r="I121" t="s">
        <v>34</v>
      </c>
      <c r="J121">
        <v>7</v>
      </c>
      <c r="K121">
        <v>699</v>
      </c>
      <c r="L121">
        <v>1522.71</v>
      </c>
      <c r="M121">
        <v>12714</v>
      </c>
      <c r="N121" t="s">
        <v>26</v>
      </c>
      <c r="O121" t="s">
        <v>27</v>
      </c>
      <c r="P121" t="s">
        <v>45</v>
      </c>
      <c r="Q121">
        <v>10</v>
      </c>
      <c r="R121">
        <v>46.22</v>
      </c>
    </row>
    <row r="122" spans="1:18" x14ac:dyDescent="0.3">
      <c r="A122" t="s">
        <v>305</v>
      </c>
      <c r="B122" t="s">
        <v>306</v>
      </c>
      <c r="C122" t="s">
        <v>20</v>
      </c>
      <c r="D122" t="s">
        <v>42</v>
      </c>
      <c r="E122" s="4">
        <v>42620</v>
      </c>
      <c r="F122" t="s">
        <v>65</v>
      </c>
      <c r="G122" t="s">
        <v>33</v>
      </c>
      <c r="H122" t="s">
        <v>50</v>
      </c>
      <c r="I122" t="s">
        <v>92</v>
      </c>
      <c r="J122">
        <v>1</v>
      </c>
      <c r="K122">
        <v>392</v>
      </c>
      <c r="L122">
        <v>1134.01</v>
      </c>
      <c r="M122">
        <v>24507</v>
      </c>
      <c r="N122" t="s">
        <v>36</v>
      </c>
      <c r="O122" t="s">
        <v>37</v>
      </c>
      <c r="P122" t="s">
        <v>52</v>
      </c>
      <c r="Q122">
        <v>26</v>
      </c>
      <c r="R122">
        <v>50.33</v>
      </c>
    </row>
    <row r="123" spans="1:18" x14ac:dyDescent="0.3">
      <c r="A123" t="s">
        <v>307</v>
      </c>
      <c r="B123" t="s">
        <v>308</v>
      </c>
      <c r="C123" t="s">
        <v>20</v>
      </c>
      <c r="D123" t="s">
        <v>59</v>
      </c>
      <c r="E123" s="4">
        <v>45092</v>
      </c>
      <c r="F123" t="s">
        <v>65</v>
      </c>
      <c r="G123" t="s">
        <v>44</v>
      </c>
      <c r="H123" t="s">
        <v>34</v>
      </c>
      <c r="I123" t="s">
        <v>51</v>
      </c>
      <c r="J123">
        <v>5</v>
      </c>
      <c r="K123">
        <v>1157</v>
      </c>
      <c r="L123">
        <v>4154.1099999999997</v>
      </c>
      <c r="M123">
        <v>30914</v>
      </c>
      <c r="N123" t="s">
        <v>61</v>
      </c>
      <c r="O123" t="s">
        <v>56</v>
      </c>
      <c r="P123" t="s">
        <v>51</v>
      </c>
      <c r="Q123">
        <v>38</v>
      </c>
      <c r="R123">
        <v>176.5</v>
      </c>
    </row>
    <row r="124" spans="1:18" x14ac:dyDescent="0.3">
      <c r="A124" t="s">
        <v>309</v>
      </c>
      <c r="B124" t="s">
        <v>310</v>
      </c>
      <c r="C124" t="s">
        <v>97</v>
      </c>
      <c r="D124" t="s">
        <v>109</v>
      </c>
      <c r="E124" s="4">
        <v>43590</v>
      </c>
      <c r="F124" t="s">
        <v>69</v>
      </c>
      <c r="G124" t="s">
        <v>102</v>
      </c>
      <c r="H124" t="s">
        <v>24</v>
      </c>
      <c r="I124" t="s">
        <v>92</v>
      </c>
      <c r="J124">
        <v>2</v>
      </c>
      <c r="K124">
        <v>167</v>
      </c>
      <c r="L124">
        <v>2049.6</v>
      </c>
      <c r="M124">
        <v>34815</v>
      </c>
      <c r="N124" t="s">
        <v>61</v>
      </c>
      <c r="O124" t="s">
        <v>62</v>
      </c>
      <c r="P124" t="s">
        <v>52</v>
      </c>
      <c r="Q124">
        <v>43</v>
      </c>
      <c r="R124">
        <v>163.99</v>
      </c>
    </row>
    <row r="125" spans="1:18" x14ac:dyDescent="0.3">
      <c r="A125" t="s">
        <v>311</v>
      </c>
      <c r="B125" t="s">
        <v>312</v>
      </c>
      <c r="C125" t="s">
        <v>68</v>
      </c>
      <c r="D125" t="s">
        <v>59</v>
      </c>
      <c r="E125" s="4">
        <v>45154</v>
      </c>
      <c r="F125" t="s">
        <v>43</v>
      </c>
      <c r="G125" t="s">
        <v>44</v>
      </c>
      <c r="H125" t="s">
        <v>50</v>
      </c>
      <c r="I125" t="s">
        <v>34</v>
      </c>
      <c r="J125">
        <v>3</v>
      </c>
      <c r="K125">
        <v>178</v>
      </c>
      <c r="L125">
        <v>148.96</v>
      </c>
      <c r="M125">
        <v>7233</v>
      </c>
      <c r="N125" t="s">
        <v>36</v>
      </c>
      <c r="O125" t="s">
        <v>37</v>
      </c>
      <c r="P125" t="s">
        <v>52</v>
      </c>
      <c r="Q125">
        <v>17</v>
      </c>
      <c r="R125">
        <v>217.06</v>
      </c>
    </row>
    <row r="126" spans="1:18" x14ac:dyDescent="0.3">
      <c r="A126" t="s">
        <v>313</v>
      </c>
      <c r="B126" t="s">
        <v>314</v>
      </c>
      <c r="C126" t="s">
        <v>68</v>
      </c>
      <c r="D126" t="s">
        <v>109</v>
      </c>
      <c r="E126" s="4">
        <v>45914</v>
      </c>
      <c r="F126" t="s">
        <v>69</v>
      </c>
      <c r="G126" t="s">
        <v>44</v>
      </c>
      <c r="H126" t="s">
        <v>70</v>
      </c>
      <c r="I126" t="s">
        <v>51</v>
      </c>
      <c r="J126">
        <v>4</v>
      </c>
      <c r="K126">
        <v>1155</v>
      </c>
      <c r="L126">
        <v>2552.75</v>
      </c>
      <c r="M126">
        <v>27154</v>
      </c>
      <c r="N126" t="s">
        <v>61</v>
      </c>
      <c r="O126" t="s">
        <v>27</v>
      </c>
      <c r="P126" t="s">
        <v>45</v>
      </c>
      <c r="Q126">
        <v>7</v>
      </c>
      <c r="R126">
        <v>137.78</v>
      </c>
    </row>
    <row r="127" spans="1:18" x14ac:dyDescent="0.3">
      <c r="A127" t="s">
        <v>315</v>
      </c>
      <c r="B127" t="s">
        <v>316</v>
      </c>
      <c r="C127" t="s">
        <v>97</v>
      </c>
      <c r="D127" t="s">
        <v>59</v>
      </c>
      <c r="E127" s="4">
        <v>41397</v>
      </c>
      <c r="F127" t="s">
        <v>22</v>
      </c>
      <c r="G127" t="s">
        <v>102</v>
      </c>
      <c r="H127" t="s">
        <v>50</v>
      </c>
      <c r="I127" t="s">
        <v>35</v>
      </c>
      <c r="J127">
        <v>1</v>
      </c>
      <c r="K127">
        <v>1248</v>
      </c>
      <c r="L127">
        <v>2566.39</v>
      </c>
      <c r="M127">
        <v>10179</v>
      </c>
      <c r="N127" t="s">
        <v>61</v>
      </c>
      <c r="O127" t="s">
        <v>62</v>
      </c>
      <c r="P127" t="s">
        <v>25</v>
      </c>
      <c r="Q127">
        <v>28</v>
      </c>
      <c r="R127">
        <v>163.32</v>
      </c>
    </row>
    <row r="128" spans="1:18" x14ac:dyDescent="0.3">
      <c r="A128" t="s">
        <v>317</v>
      </c>
      <c r="B128" t="s">
        <v>318</v>
      </c>
      <c r="C128" t="s">
        <v>41</v>
      </c>
      <c r="D128" t="s">
        <v>32</v>
      </c>
      <c r="E128" s="4">
        <v>42001</v>
      </c>
      <c r="F128" t="s">
        <v>22</v>
      </c>
      <c r="G128" t="s">
        <v>102</v>
      </c>
      <c r="H128" t="s">
        <v>55</v>
      </c>
      <c r="I128" t="s">
        <v>34</v>
      </c>
      <c r="J128">
        <v>6</v>
      </c>
      <c r="K128">
        <v>8</v>
      </c>
      <c r="L128">
        <v>2550.38</v>
      </c>
      <c r="M128">
        <v>19421</v>
      </c>
      <c r="N128" t="s">
        <v>26</v>
      </c>
      <c r="O128" t="s">
        <v>62</v>
      </c>
      <c r="P128" t="s">
        <v>51</v>
      </c>
      <c r="Q128">
        <v>30</v>
      </c>
      <c r="R128">
        <v>242.41</v>
      </c>
    </row>
    <row r="129" spans="1:18" x14ac:dyDescent="0.3">
      <c r="A129" t="s">
        <v>319</v>
      </c>
      <c r="B129" t="s">
        <v>320</v>
      </c>
      <c r="C129" t="s">
        <v>97</v>
      </c>
      <c r="D129" t="s">
        <v>109</v>
      </c>
      <c r="E129" s="4">
        <v>41591</v>
      </c>
      <c r="F129" t="s">
        <v>22</v>
      </c>
      <c r="G129" t="s">
        <v>102</v>
      </c>
      <c r="H129" t="s">
        <v>50</v>
      </c>
      <c r="I129" t="s">
        <v>34</v>
      </c>
      <c r="J129">
        <v>3</v>
      </c>
      <c r="K129">
        <v>193</v>
      </c>
      <c r="L129">
        <v>393.63</v>
      </c>
      <c r="M129">
        <v>38230</v>
      </c>
      <c r="N129" t="s">
        <v>36</v>
      </c>
      <c r="O129" t="s">
        <v>62</v>
      </c>
      <c r="P129" t="s">
        <v>38</v>
      </c>
      <c r="Q129">
        <v>39</v>
      </c>
      <c r="R129">
        <v>124.01</v>
      </c>
    </row>
    <row r="130" spans="1:18" x14ac:dyDescent="0.3">
      <c r="A130" t="s">
        <v>321</v>
      </c>
      <c r="B130" t="s">
        <v>322</v>
      </c>
      <c r="C130" t="s">
        <v>97</v>
      </c>
      <c r="D130" t="s">
        <v>82</v>
      </c>
      <c r="E130" s="4">
        <v>43326</v>
      </c>
      <c r="F130" t="s">
        <v>22</v>
      </c>
      <c r="G130" t="s">
        <v>33</v>
      </c>
      <c r="H130" t="s">
        <v>70</v>
      </c>
      <c r="I130" t="s">
        <v>76</v>
      </c>
      <c r="J130">
        <v>3</v>
      </c>
      <c r="K130">
        <v>326</v>
      </c>
      <c r="L130">
        <v>4910.79</v>
      </c>
      <c r="M130">
        <v>39474</v>
      </c>
      <c r="N130" t="s">
        <v>61</v>
      </c>
      <c r="O130" t="s">
        <v>62</v>
      </c>
      <c r="P130" t="s">
        <v>51</v>
      </c>
      <c r="Q130">
        <v>47</v>
      </c>
      <c r="R130">
        <v>112.27</v>
      </c>
    </row>
    <row r="131" spans="1:18" x14ac:dyDescent="0.3">
      <c r="A131" t="s">
        <v>323</v>
      </c>
      <c r="B131" t="s">
        <v>324</v>
      </c>
      <c r="C131" t="s">
        <v>97</v>
      </c>
      <c r="D131" t="s">
        <v>59</v>
      </c>
      <c r="E131" s="4">
        <v>43869</v>
      </c>
      <c r="F131" t="s">
        <v>60</v>
      </c>
      <c r="G131" t="s">
        <v>44</v>
      </c>
      <c r="H131" t="s">
        <v>50</v>
      </c>
      <c r="I131" t="s">
        <v>25</v>
      </c>
      <c r="J131">
        <v>5</v>
      </c>
      <c r="K131">
        <v>646</v>
      </c>
      <c r="L131">
        <v>4811.74</v>
      </c>
      <c r="M131">
        <v>18443</v>
      </c>
      <c r="N131" t="s">
        <v>61</v>
      </c>
      <c r="O131" t="s">
        <v>37</v>
      </c>
      <c r="P131" t="s">
        <v>38</v>
      </c>
      <c r="Q131">
        <v>2</v>
      </c>
      <c r="R131">
        <v>196.96</v>
      </c>
    </row>
    <row r="132" spans="1:18" x14ac:dyDescent="0.3">
      <c r="A132" t="s">
        <v>325</v>
      </c>
      <c r="B132" t="s">
        <v>326</v>
      </c>
      <c r="C132" t="s">
        <v>79</v>
      </c>
      <c r="D132" t="s">
        <v>59</v>
      </c>
      <c r="E132" s="4">
        <v>45955</v>
      </c>
      <c r="F132" t="s">
        <v>65</v>
      </c>
      <c r="G132" t="s">
        <v>44</v>
      </c>
      <c r="H132" t="s">
        <v>24</v>
      </c>
      <c r="I132" t="s">
        <v>34</v>
      </c>
      <c r="J132">
        <v>1</v>
      </c>
      <c r="K132">
        <v>683</v>
      </c>
      <c r="L132">
        <v>971.16</v>
      </c>
      <c r="M132">
        <v>20336</v>
      </c>
      <c r="N132" t="s">
        <v>61</v>
      </c>
      <c r="O132" t="s">
        <v>27</v>
      </c>
      <c r="P132" t="s">
        <v>51</v>
      </c>
      <c r="Q132">
        <v>13</v>
      </c>
      <c r="R132">
        <v>94.31</v>
      </c>
    </row>
    <row r="133" spans="1:18" x14ac:dyDescent="0.3">
      <c r="A133" t="s">
        <v>327</v>
      </c>
      <c r="B133" t="s">
        <v>328</v>
      </c>
      <c r="C133" t="s">
        <v>97</v>
      </c>
      <c r="D133" t="s">
        <v>82</v>
      </c>
      <c r="E133" s="4">
        <v>42358</v>
      </c>
      <c r="F133" t="s">
        <v>69</v>
      </c>
      <c r="G133" t="s">
        <v>102</v>
      </c>
      <c r="H133" t="s">
        <v>75</v>
      </c>
      <c r="I133" t="s">
        <v>92</v>
      </c>
      <c r="J133">
        <v>4</v>
      </c>
      <c r="K133">
        <v>843</v>
      </c>
      <c r="L133">
        <v>1585.61</v>
      </c>
      <c r="M133">
        <v>35579</v>
      </c>
      <c r="N133" t="s">
        <v>61</v>
      </c>
      <c r="O133" t="s">
        <v>56</v>
      </c>
      <c r="P133" t="s">
        <v>25</v>
      </c>
      <c r="Q133">
        <v>21</v>
      </c>
      <c r="R133">
        <v>130.97999999999999</v>
      </c>
    </row>
    <row r="134" spans="1:18" x14ac:dyDescent="0.3">
      <c r="A134" t="s">
        <v>329</v>
      </c>
      <c r="B134" t="s">
        <v>330</v>
      </c>
      <c r="C134" t="s">
        <v>20</v>
      </c>
      <c r="D134" t="s">
        <v>21</v>
      </c>
      <c r="E134" s="4">
        <v>45304</v>
      </c>
      <c r="F134" t="s">
        <v>43</v>
      </c>
      <c r="G134" t="s">
        <v>44</v>
      </c>
      <c r="H134" t="s">
        <v>55</v>
      </c>
      <c r="I134" t="s">
        <v>35</v>
      </c>
      <c r="J134">
        <v>4</v>
      </c>
      <c r="K134">
        <v>1072</v>
      </c>
      <c r="L134">
        <v>3782.14</v>
      </c>
      <c r="M134">
        <v>40181</v>
      </c>
      <c r="N134" t="s">
        <v>61</v>
      </c>
      <c r="O134" t="s">
        <v>56</v>
      </c>
      <c r="P134" t="s">
        <v>25</v>
      </c>
      <c r="Q134">
        <v>41</v>
      </c>
      <c r="R134">
        <v>82.71</v>
      </c>
    </row>
    <row r="135" spans="1:18" x14ac:dyDescent="0.3">
      <c r="A135" t="s">
        <v>331</v>
      </c>
      <c r="B135" t="s">
        <v>332</v>
      </c>
      <c r="C135" t="s">
        <v>116</v>
      </c>
      <c r="D135" t="s">
        <v>59</v>
      </c>
      <c r="E135" s="4">
        <v>45415</v>
      </c>
      <c r="F135" t="s">
        <v>69</v>
      </c>
      <c r="G135" t="s">
        <v>44</v>
      </c>
      <c r="H135" t="s">
        <v>50</v>
      </c>
      <c r="I135" t="s">
        <v>25</v>
      </c>
      <c r="J135">
        <v>5</v>
      </c>
      <c r="K135">
        <v>689</v>
      </c>
      <c r="L135">
        <v>2920.17</v>
      </c>
      <c r="M135">
        <v>26815</v>
      </c>
      <c r="N135" t="s">
        <v>61</v>
      </c>
      <c r="O135" t="s">
        <v>27</v>
      </c>
      <c r="P135" t="s">
        <v>51</v>
      </c>
      <c r="Q135">
        <v>20</v>
      </c>
      <c r="R135">
        <v>63.71</v>
      </c>
    </row>
    <row r="136" spans="1:18" x14ac:dyDescent="0.3">
      <c r="A136" t="s">
        <v>333</v>
      </c>
      <c r="B136" t="s">
        <v>334</v>
      </c>
      <c r="C136" t="s">
        <v>20</v>
      </c>
      <c r="D136" t="s">
        <v>42</v>
      </c>
      <c r="E136" s="4">
        <v>44002</v>
      </c>
      <c r="F136" t="s">
        <v>22</v>
      </c>
      <c r="G136" t="s">
        <v>102</v>
      </c>
      <c r="H136" t="s">
        <v>70</v>
      </c>
      <c r="I136" t="s">
        <v>92</v>
      </c>
      <c r="J136">
        <v>0</v>
      </c>
      <c r="K136">
        <v>189</v>
      </c>
      <c r="L136">
        <v>2266.19</v>
      </c>
      <c r="M136">
        <v>18120</v>
      </c>
      <c r="N136" t="s">
        <v>61</v>
      </c>
      <c r="O136" t="s">
        <v>27</v>
      </c>
      <c r="P136" t="s">
        <v>51</v>
      </c>
      <c r="Q136">
        <v>48</v>
      </c>
      <c r="R136">
        <v>241.37</v>
      </c>
    </row>
    <row r="137" spans="1:18" x14ac:dyDescent="0.3">
      <c r="A137" t="s">
        <v>335</v>
      </c>
      <c r="B137" t="s">
        <v>336</v>
      </c>
      <c r="C137" t="s">
        <v>79</v>
      </c>
      <c r="D137" t="s">
        <v>32</v>
      </c>
      <c r="E137" s="4">
        <v>43610</v>
      </c>
      <c r="F137" t="s">
        <v>43</v>
      </c>
      <c r="G137" t="s">
        <v>49</v>
      </c>
      <c r="H137" t="s">
        <v>75</v>
      </c>
      <c r="I137" t="s">
        <v>51</v>
      </c>
      <c r="J137">
        <v>4</v>
      </c>
      <c r="K137">
        <v>513</v>
      </c>
      <c r="L137">
        <v>3755.57</v>
      </c>
      <c r="M137">
        <v>11169</v>
      </c>
      <c r="N137" t="s">
        <v>61</v>
      </c>
      <c r="O137" t="s">
        <v>27</v>
      </c>
      <c r="P137" t="s">
        <v>38</v>
      </c>
      <c r="Q137">
        <v>34</v>
      </c>
      <c r="R137">
        <v>97.93</v>
      </c>
    </row>
    <row r="138" spans="1:18" x14ac:dyDescent="0.3">
      <c r="A138" t="s">
        <v>337</v>
      </c>
      <c r="B138" t="s">
        <v>338</v>
      </c>
      <c r="C138" t="s">
        <v>97</v>
      </c>
      <c r="D138" t="s">
        <v>42</v>
      </c>
      <c r="E138" s="4">
        <v>40569</v>
      </c>
      <c r="F138" t="s">
        <v>43</v>
      </c>
      <c r="G138" t="s">
        <v>44</v>
      </c>
      <c r="H138" t="s">
        <v>24</v>
      </c>
      <c r="I138" t="s">
        <v>51</v>
      </c>
      <c r="J138">
        <v>4</v>
      </c>
      <c r="K138">
        <v>676</v>
      </c>
      <c r="L138">
        <v>4115.21</v>
      </c>
      <c r="M138">
        <v>33689</v>
      </c>
      <c r="N138" t="s">
        <v>26</v>
      </c>
      <c r="O138" t="s">
        <v>37</v>
      </c>
      <c r="P138" t="s">
        <v>51</v>
      </c>
      <c r="Q138">
        <v>18</v>
      </c>
      <c r="R138">
        <v>61.14</v>
      </c>
    </row>
    <row r="139" spans="1:18" x14ac:dyDescent="0.3">
      <c r="A139" t="s">
        <v>339</v>
      </c>
      <c r="B139" t="s">
        <v>340</v>
      </c>
      <c r="C139" t="s">
        <v>116</v>
      </c>
      <c r="D139" t="s">
        <v>42</v>
      </c>
      <c r="E139" s="4">
        <v>43576</v>
      </c>
      <c r="F139" t="s">
        <v>60</v>
      </c>
      <c r="G139" t="s">
        <v>49</v>
      </c>
      <c r="H139" t="s">
        <v>50</v>
      </c>
      <c r="I139" t="s">
        <v>25</v>
      </c>
      <c r="J139">
        <v>6</v>
      </c>
      <c r="K139">
        <v>483</v>
      </c>
      <c r="L139">
        <v>4842.49</v>
      </c>
      <c r="M139">
        <v>27486</v>
      </c>
      <c r="N139" t="s">
        <v>26</v>
      </c>
      <c r="O139" t="s">
        <v>62</v>
      </c>
      <c r="P139" t="s">
        <v>52</v>
      </c>
      <c r="Q139">
        <v>45</v>
      </c>
      <c r="R139">
        <v>218.01</v>
      </c>
    </row>
    <row r="140" spans="1:18" x14ac:dyDescent="0.3">
      <c r="A140" t="s">
        <v>341</v>
      </c>
      <c r="B140" t="s">
        <v>342</v>
      </c>
      <c r="C140" t="s">
        <v>41</v>
      </c>
      <c r="D140" t="s">
        <v>109</v>
      </c>
      <c r="E140" s="4">
        <v>43503</v>
      </c>
      <c r="F140" t="s">
        <v>69</v>
      </c>
      <c r="G140" t="s">
        <v>33</v>
      </c>
      <c r="H140" t="s">
        <v>50</v>
      </c>
      <c r="I140" t="s">
        <v>34</v>
      </c>
      <c r="J140">
        <v>7</v>
      </c>
      <c r="K140">
        <v>42</v>
      </c>
      <c r="L140">
        <v>4319.5600000000004</v>
      </c>
      <c r="M140">
        <v>47271</v>
      </c>
      <c r="N140" t="s">
        <v>36</v>
      </c>
      <c r="O140" t="s">
        <v>27</v>
      </c>
      <c r="P140" t="s">
        <v>52</v>
      </c>
      <c r="Q140">
        <v>34</v>
      </c>
      <c r="R140">
        <v>154.21</v>
      </c>
    </row>
    <row r="141" spans="1:18" x14ac:dyDescent="0.3">
      <c r="A141" t="s">
        <v>343</v>
      </c>
      <c r="B141" t="s">
        <v>344</v>
      </c>
      <c r="C141" t="s">
        <v>31</v>
      </c>
      <c r="D141" t="s">
        <v>82</v>
      </c>
      <c r="E141" s="4">
        <v>45712</v>
      </c>
      <c r="F141" t="s">
        <v>48</v>
      </c>
      <c r="G141" t="s">
        <v>83</v>
      </c>
      <c r="H141" t="s">
        <v>34</v>
      </c>
      <c r="I141" t="s">
        <v>25</v>
      </c>
      <c r="J141">
        <v>8</v>
      </c>
      <c r="K141">
        <v>326</v>
      </c>
      <c r="L141">
        <v>2725.96</v>
      </c>
      <c r="M141">
        <v>9086</v>
      </c>
      <c r="N141" t="s">
        <v>61</v>
      </c>
      <c r="O141" t="s">
        <v>62</v>
      </c>
      <c r="P141" t="s">
        <v>51</v>
      </c>
      <c r="Q141">
        <v>12</v>
      </c>
      <c r="R141">
        <v>42.99</v>
      </c>
    </row>
    <row r="142" spans="1:18" x14ac:dyDescent="0.3">
      <c r="A142" t="s">
        <v>345</v>
      </c>
      <c r="B142" t="s">
        <v>346</v>
      </c>
      <c r="C142" t="s">
        <v>31</v>
      </c>
      <c r="D142" t="s">
        <v>109</v>
      </c>
      <c r="E142" s="4">
        <v>40916</v>
      </c>
      <c r="F142" t="s">
        <v>43</v>
      </c>
      <c r="G142" t="s">
        <v>83</v>
      </c>
      <c r="H142" t="s">
        <v>34</v>
      </c>
      <c r="I142" t="s">
        <v>51</v>
      </c>
      <c r="J142">
        <v>0</v>
      </c>
      <c r="K142">
        <v>1142</v>
      </c>
      <c r="L142">
        <v>2765.18</v>
      </c>
      <c r="M142">
        <v>48247</v>
      </c>
      <c r="N142" t="s">
        <v>61</v>
      </c>
      <c r="O142" t="s">
        <v>56</v>
      </c>
      <c r="P142" t="s">
        <v>25</v>
      </c>
      <c r="Q142">
        <v>47</v>
      </c>
      <c r="R142">
        <v>108.63</v>
      </c>
    </row>
    <row r="143" spans="1:18" x14ac:dyDescent="0.3">
      <c r="A143" t="s">
        <v>347</v>
      </c>
      <c r="B143" t="s">
        <v>348</v>
      </c>
      <c r="C143" t="s">
        <v>31</v>
      </c>
      <c r="D143" t="s">
        <v>59</v>
      </c>
      <c r="E143" s="4">
        <v>42660</v>
      </c>
      <c r="F143" t="s">
        <v>65</v>
      </c>
      <c r="G143" t="s">
        <v>23</v>
      </c>
      <c r="H143" t="s">
        <v>24</v>
      </c>
      <c r="I143" t="s">
        <v>34</v>
      </c>
      <c r="J143">
        <v>0</v>
      </c>
      <c r="K143">
        <v>917</v>
      </c>
      <c r="L143">
        <v>3141.44</v>
      </c>
      <c r="M143">
        <v>27298</v>
      </c>
      <c r="N143" t="s">
        <v>36</v>
      </c>
      <c r="O143" t="s">
        <v>56</v>
      </c>
      <c r="P143" t="s">
        <v>38</v>
      </c>
      <c r="Q143">
        <v>29</v>
      </c>
      <c r="R143">
        <v>63.45</v>
      </c>
    </row>
    <row r="144" spans="1:18" x14ac:dyDescent="0.3">
      <c r="A144" t="s">
        <v>349</v>
      </c>
      <c r="B144" t="s">
        <v>350</v>
      </c>
      <c r="C144" t="s">
        <v>20</v>
      </c>
      <c r="D144" t="s">
        <v>109</v>
      </c>
      <c r="E144" s="4">
        <v>40454</v>
      </c>
      <c r="F144" t="s">
        <v>43</v>
      </c>
      <c r="G144" t="s">
        <v>49</v>
      </c>
      <c r="H144" t="s">
        <v>75</v>
      </c>
      <c r="I144" t="s">
        <v>35</v>
      </c>
      <c r="J144">
        <v>5</v>
      </c>
      <c r="K144">
        <v>401</v>
      </c>
      <c r="L144">
        <v>3460.76</v>
      </c>
      <c r="M144">
        <v>12793</v>
      </c>
      <c r="N144" t="s">
        <v>61</v>
      </c>
      <c r="O144" t="s">
        <v>62</v>
      </c>
      <c r="P144" t="s">
        <v>52</v>
      </c>
      <c r="Q144">
        <v>6</v>
      </c>
      <c r="R144">
        <v>34.5</v>
      </c>
    </row>
    <row r="145" spans="1:18" x14ac:dyDescent="0.3">
      <c r="A145" t="s">
        <v>351</v>
      </c>
      <c r="B145" t="s">
        <v>352</v>
      </c>
      <c r="C145" t="s">
        <v>116</v>
      </c>
      <c r="D145" t="s">
        <v>109</v>
      </c>
      <c r="E145" s="4">
        <v>42116</v>
      </c>
      <c r="F145" t="s">
        <v>22</v>
      </c>
      <c r="G145" t="s">
        <v>49</v>
      </c>
      <c r="H145" t="s">
        <v>34</v>
      </c>
      <c r="I145" t="s">
        <v>76</v>
      </c>
      <c r="J145">
        <v>3</v>
      </c>
      <c r="K145">
        <v>988</v>
      </c>
      <c r="L145">
        <v>2796.96</v>
      </c>
      <c r="M145">
        <v>48079</v>
      </c>
      <c r="N145" t="s">
        <v>61</v>
      </c>
      <c r="O145" t="s">
        <v>62</v>
      </c>
      <c r="P145" t="s">
        <v>51</v>
      </c>
      <c r="Q145">
        <v>5</v>
      </c>
      <c r="R145">
        <v>97.96</v>
      </c>
    </row>
    <row r="146" spans="1:18" x14ac:dyDescent="0.3">
      <c r="A146" t="s">
        <v>353</v>
      </c>
      <c r="B146" t="s">
        <v>354</v>
      </c>
      <c r="C146" t="s">
        <v>41</v>
      </c>
      <c r="D146" t="s">
        <v>82</v>
      </c>
      <c r="E146" s="4">
        <v>41949</v>
      </c>
      <c r="F146" t="s">
        <v>60</v>
      </c>
      <c r="G146" t="s">
        <v>33</v>
      </c>
      <c r="H146" t="s">
        <v>55</v>
      </c>
      <c r="I146" t="s">
        <v>76</v>
      </c>
      <c r="J146">
        <v>7</v>
      </c>
      <c r="K146">
        <v>683</v>
      </c>
      <c r="L146">
        <v>2800.11</v>
      </c>
      <c r="M146">
        <v>39557</v>
      </c>
      <c r="N146" t="s">
        <v>61</v>
      </c>
      <c r="O146" t="s">
        <v>27</v>
      </c>
      <c r="P146" t="s">
        <v>28</v>
      </c>
      <c r="Q146">
        <v>9</v>
      </c>
      <c r="R146">
        <v>165.24</v>
      </c>
    </row>
    <row r="147" spans="1:18" x14ac:dyDescent="0.3">
      <c r="A147" t="s">
        <v>355</v>
      </c>
      <c r="B147" t="s">
        <v>356</v>
      </c>
      <c r="C147" t="s">
        <v>68</v>
      </c>
      <c r="D147" t="s">
        <v>59</v>
      </c>
      <c r="E147" s="4">
        <v>42775</v>
      </c>
      <c r="F147" t="s">
        <v>60</v>
      </c>
      <c r="G147" t="s">
        <v>102</v>
      </c>
      <c r="H147" t="s">
        <v>34</v>
      </c>
      <c r="I147" t="s">
        <v>76</v>
      </c>
      <c r="J147">
        <v>3</v>
      </c>
      <c r="K147">
        <v>588</v>
      </c>
      <c r="L147">
        <v>957.99</v>
      </c>
      <c r="M147">
        <v>38649</v>
      </c>
      <c r="N147" t="s">
        <v>61</v>
      </c>
      <c r="O147" t="s">
        <v>27</v>
      </c>
      <c r="P147" t="s">
        <v>52</v>
      </c>
      <c r="Q147">
        <v>24</v>
      </c>
      <c r="R147">
        <v>244.72</v>
      </c>
    </row>
    <row r="148" spans="1:18" x14ac:dyDescent="0.3">
      <c r="A148" t="s">
        <v>357</v>
      </c>
      <c r="B148" t="s">
        <v>358</v>
      </c>
      <c r="C148" t="s">
        <v>20</v>
      </c>
      <c r="D148" t="s">
        <v>59</v>
      </c>
      <c r="E148" s="4">
        <v>44688</v>
      </c>
      <c r="F148" t="s">
        <v>43</v>
      </c>
      <c r="G148" t="s">
        <v>83</v>
      </c>
      <c r="H148" t="s">
        <v>55</v>
      </c>
      <c r="I148" t="s">
        <v>35</v>
      </c>
      <c r="J148">
        <v>3</v>
      </c>
      <c r="K148">
        <v>499</v>
      </c>
      <c r="L148">
        <v>4823.82</v>
      </c>
      <c r="M148">
        <v>16753</v>
      </c>
      <c r="N148" t="s">
        <v>26</v>
      </c>
      <c r="O148" t="s">
        <v>62</v>
      </c>
      <c r="P148" t="s">
        <v>28</v>
      </c>
      <c r="Q148">
        <v>29</v>
      </c>
      <c r="R148">
        <v>3.56</v>
      </c>
    </row>
    <row r="149" spans="1:18" x14ac:dyDescent="0.3">
      <c r="A149" t="s">
        <v>359</v>
      </c>
      <c r="B149" t="s">
        <v>360</v>
      </c>
      <c r="C149" t="s">
        <v>116</v>
      </c>
      <c r="D149" t="s">
        <v>82</v>
      </c>
      <c r="E149" s="4">
        <v>42950</v>
      </c>
      <c r="F149" t="s">
        <v>48</v>
      </c>
      <c r="G149" t="s">
        <v>102</v>
      </c>
      <c r="H149" t="s">
        <v>24</v>
      </c>
      <c r="I149" t="s">
        <v>35</v>
      </c>
      <c r="J149">
        <v>0</v>
      </c>
      <c r="K149">
        <v>1120</v>
      </c>
      <c r="L149">
        <v>543.77</v>
      </c>
      <c r="M149">
        <v>18408</v>
      </c>
      <c r="N149" t="s">
        <v>26</v>
      </c>
      <c r="O149" t="s">
        <v>56</v>
      </c>
      <c r="P149" t="s">
        <v>51</v>
      </c>
      <c r="Q149">
        <v>23</v>
      </c>
      <c r="R149">
        <v>180.91</v>
      </c>
    </row>
    <row r="150" spans="1:18" x14ac:dyDescent="0.3">
      <c r="A150" t="s">
        <v>361</v>
      </c>
      <c r="B150" t="s">
        <v>362</v>
      </c>
      <c r="C150" t="s">
        <v>116</v>
      </c>
      <c r="D150" t="s">
        <v>109</v>
      </c>
      <c r="E150" s="4">
        <v>41330</v>
      </c>
      <c r="F150" t="s">
        <v>60</v>
      </c>
      <c r="G150" t="s">
        <v>44</v>
      </c>
      <c r="H150" t="s">
        <v>34</v>
      </c>
      <c r="I150" t="s">
        <v>92</v>
      </c>
      <c r="J150">
        <v>0</v>
      </c>
      <c r="K150">
        <v>610</v>
      </c>
      <c r="L150">
        <v>1401.26</v>
      </c>
      <c r="M150">
        <v>41598</v>
      </c>
      <c r="N150" t="s">
        <v>26</v>
      </c>
      <c r="O150" t="s">
        <v>62</v>
      </c>
      <c r="P150" t="s">
        <v>45</v>
      </c>
      <c r="Q150">
        <v>17</v>
      </c>
      <c r="R150">
        <v>213.98</v>
      </c>
    </row>
    <row r="151" spans="1:18" x14ac:dyDescent="0.3">
      <c r="A151" t="s">
        <v>363</v>
      </c>
      <c r="B151" t="s">
        <v>364</v>
      </c>
      <c r="C151" t="s">
        <v>31</v>
      </c>
      <c r="D151" t="s">
        <v>59</v>
      </c>
      <c r="E151" s="4">
        <v>43090</v>
      </c>
      <c r="F151" t="s">
        <v>43</v>
      </c>
      <c r="G151" t="s">
        <v>49</v>
      </c>
      <c r="H151" t="s">
        <v>34</v>
      </c>
      <c r="I151" t="s">
        <v>25</v>
      </c>
      <c r="J151">
        <v>6</v>
      </c>
      <c r="K151">
        <v>501</v>
      </c>
      <c r="L151">
        <v>4212.4799999999996</v>
      </c>
      <c r="M151">
        <v>18301</v>
      </c>
      <c r="N151" t="s">
        <v>61</v>
      </c>
      <c r="O151" t="s">
        <v>27</v>
      </c>
      <c r="P151" t="s">
        <v>25</v>
      </c>
      <c r="Q151">
        <v>32</v>
      </c>
      <c r="R151">
        <v>40.22</v>
      </c>
    </row>
    <row r="152" spans="1:18" x14ac:dyDescent="0.3">
      <c r="A152" t="s">
        <v>365</v>
      </c>
      <c r="B152" t="s">
        <v>366</v>
      </c>
      <c r="C152" t="s">
        <v>68</v>
      </c>
      <c r="D152" t="s">
        <v>21</v>
      </c>
      <c r="E152" s="4">
        <v>43515</v>
      </c>
      <c r="F152" t="s">
        <v>65</v>
      </c>
      <c r="G152" t="s">
        <v>49</v>
      </c>
      <c r="H152" t="s">
        <v>50</v>
      </c>
      <c r="I152" t="s">
        <v>34</v>
      </c>
      <c r="J152">
        <v>7</v>
      </c>
      <c r="K152">
        <v>568</v>
      </c>
      <c r="L152">
        <v>4285.25</v>
      </c>
      <c r="M152">
        <v>12627</v>
      </c>
      <c r="N152" t="s">
        <v>36</v>
      </c>
      <c r="O152" t="s">
        <v>27</v>
      </c>
      <c r="P152" t="s">
        <v>28</v>
      </c>
      <c r="Q152">
        <v>8</v>
      </c>
      <c r="R152">
        <v>228.85</v>
      </c>
    </row>
    <row r="153" spans="1:18" x14ac:dyDescent="0.3">
      <c r="A153" t="s">
        <v>367</v>
      </c>
      <c r="B153" t="s">
        <v>368</v>
      </c>
      <c r="C153" t="s">
        <v>79</v>
      </c>
      <c r="D153" t="s">
        <v>59</v>
      </c>
      <c r="E153" s="4">
        <v>45445</v>
      </c>
      <c r="F153" t="s">
        <v>65</v>
      </c>
      <c r="G153" t="s">
        <v>33</v>
      </c>
      <c r="H153" t="s">
        <v>24</v>
      </c>
      <c r="I153" t="s">
        <v>25</v>
      </c>
      <c r="J153">
        <v>5</v>
      </c>
      <c r="K153">
        <v>706</v>
      </c>
      <c r="L153">
        <v>2180.85</v>
      </c>
      <c r="M153">
        <v>41010</v>
      </c>
      <c r="N153" t="s">
        <v>26</v>
      </c>
      <c r="O153" t="s">
        <v>56</v>
      </c>
      <c r="P153" t="s">
        <v>28</v>
      </c>
      <c r="Q153">
        <v>32</v>
      </c>
      <c r="R153">
        <v>25.11</v>
      </c>
    </row>
    <row r="154" spans="1:18" x14ac:dyDescent="0.3">
      <c r="A154" t="s">
        <v>369</v>
      </c>
      <c r="B154" t="s">
        <v>370</v>
      </c>
      <c r="C154" t="s">
        <v>97</v>
      </c>
      <c r="D154" t="s">
        <v>32</v>
      </c>
      <c r="E154" s="4">
        <v>45849</v>
      </c>
      <c r="F154" t="s">
        <v>65</v>
      </c>
      <c r="G154" t="s">
        <v>23</v>
      </c>
      <c r="H154" t="s">
        <v>55</v>
      </c>
      <c r="I154" t="s">
        <v>76</v>
      </c>
      <c r="J154">
        <v>6</v>
      </c>
      <c r="K154">
        <v>969</v>
      </c>
      <c r="L154">
        <v>4564.47</v>
      </c>
      <c r="M154">
        <v>20883</v>
      </c>
      <c r="N154" t="s">
        <v>61</v>
      </c>
      <c r="O154" t="s">
        <v>37</v>
      </c>
      <c r="P154" t="s">
        <v>38</v>
      </c>
      <c r="Q154">
        <v>13</v>
      </c>
      <c r="R154">
        <v>194.33</v>
      </c>
    </row>
    <row r="155" spans="1:18" x14ac:dyDescent="0.3">
      <c r="A155" t="s">
        <v>371</v>
      </c>
      <c r="B155" t="s">
        <v>372</v>
      </c>
      <c r="C155" t="s">
        <v>31</v>
      </c>
      <c r="D155" t="s">
        <v>109</v>
      </c>
      <c r="E155" s="4">
        <v>44360</v>
      </c>
      <c r="F155" t="s">
        <v>60</v>
      </c>
      <c r="G155" t="s">
        <v>102</v>
      </c>
      <c r="H155" t="s">
        <v>50</v>
      </c>
      <c r="I155" t="s">
        <v>34</v>
      </c>
      <c r="J155">
        <v>1</v>
      </c>
      <c r="K155">
        <v>1028</v>
      </c>
      <c r="L155">
        <v>4514.07</v>
      </c>
      <c r="M155">
        <v>33938</v>
      </c>
      <c r="N155" t="s">
        <v>36</v>
      </c>
      <c r="O155" t="s">
        <v>62</v>
      </c>
      <c r="P155" t="s">
        <v>25</v>
      </c>
      <c r="Q155">
        <v>25</v>
      </c>
      <c r="R155">
        <v>166.13</v>
      </c>
    </row>
    <row r="156" spans="1:18" x14ac:dyDescent="0.3">
      <c r="A156" t="s">
        <v>373</v>
      </c>
      <c r="B156" t="s">
        <v>374</v>
      </c>
      <c r="C156" t="s">
        <v>41</v>
      </c>
      <c r="D156" t="s">
        <v>109</v>
      </c>
      <c r="E156" s="4">
        <v>44599</v>
      </c>
      <c r="F156" t="s">
        <v>43</v>
      </c>
      <c r="G156" t="s">
        <v>49</v>
      </c>
      <c r="H156" t="s">
        <v>50</v>
      </c>
      <c r="I156" t="s">
        <v>35</v>
      </c>
      <c r="J156">
        <v>1</v>
      </c>
      <c r="K156">
        <v>814</v>
      </c>
      <c r="L156">
        <v>4185.47</v>
      </c>
      <c r="M156">
        <v>4527</v>
      </c>
      <c r="N156" t="s">
        <v>26</v>
      </c>
      <c r="O156" t="s">
        <v>56</v>
      </c>
      <c r="P156" t="s">
        <v>45</v>
      </c>
      <c r="Q156">
        <v>48</v>
      </c>
      <c r="R156">
        <v>181.74</v>
      </c>
    </row>
    <row r="157" spans="1:18" x14ac:dyDescent="0.3">
      <c r="A157" t="s">
        <v>375</v>
      </c>
      <c r="B157" t="s">
        <v>376</v>
      </c>
      <c r="C157" t="s">
        <v>31</v>
      </c>
      <c r="D157" t="s">
        <v>82</v>
      </c>
      <c r="E157" s="4">
        <v>42413</v>
      </c>
      <c r="F157" t="s">
        <v>22</v>
      </c>
      <c r="G157" t="s">
        <v>83</v>
      </c>
      <c r="H157" t="s">
        <v>50</v>
      </c>
      <c r="I157" t="s">
        <v>25</v>
      </c>
      <c r="J157">
        <v>7</v>
      </c>
      <c r="K157">
        <v>357</v>
      </c>
      <c r="L157">
        <v>4843.6400000000003</v>
      </c>
      <c r="M157">
        <v>18152</v>
      </c>
      <c r="N157" t="s">
        <v>61</v>
      </c>
      <c r="O157" t="s">
        <v>37</v>
      </c>
      <c r="P157" t="s">
        <v>25</v>
      </c>
      <c r="Q157">
        <v>25</v>
      </c>
      <c r="R157">
        <v>101.59</v>
      </c>
    </row>
    <row r="158" spans="1:18" x14ac:dyDescent="0.3">
      <c r="A158" t="s">
        <v>377</v>
      </c>
      <c r="B158" t="s">
        <v>378</v>
      </c>
      <c r="C158" t="s">
        <v>79</v>
      </c>
      <c r="D158" t="s">
        <v>59</v>
      </c>
      <c r="E158" s="4">
        <v>41861</v>
      </c>
      <c r="F158" t="s">
        <v>69</v>
      </c>
      <c r="G158" t="s">
        <v>23</v>
      </c>
      <c r="H158" t="s">
        <v>34</v>
      </c>
      <c r="I158" t="s">
        <v>92</v>
      </c>
      <c r="J158">
        <v>5</v>
      </c>
      <c r="K158">
        <v>1309</v>
      </c>
      <c r="L158">
        <v>2160.9699999999998</v>
      </c>
      <c r="M158">
        <v>31531</v>
      </c>
      <c r="N158" t="s">
        <v>61</v>
      </c>
      <c r="O158" t="s">
        <v>37</v>
      </c>
      <c r="P158" t="s">
        <v>51</v>
      </c>
      <c r="Q158">
        <v>9</v>
      </c>
      <c r="R158">
        <v>242.65</v>
      </c>
    </row>
    <row r="159" spans="1:18" x14ac:dyDescent="0.3">
      <c r="A159" t="s">
        <v>379</v>
      </c>
      <c r="B159" t="s">
        <v>380</v>
      </c>
      <c r="C159" t="s">
        <v>31</v>
      </c>
      <c r="D159" t="s">
        <v>21</v>
      </c>
      <c r="E159" s="4">
        <v>42611</v>
      </c>
      <c r="F159" t="s">
        <v>43</v>
      </c>
      <c r="G159" t="s">
        <v>33</v>
      </c>
      <c r="H159" t="s">
        <v>70</v>
      </c>
      <c r="I159" t="s">
        <v>25</v>
      </c>
      <c r="J159">
        <v>8</v>
      </c>
      <c r="K159">
        <v>1258</v>
      </c>
      <c r="L159">
        <v>1459.58</v>
      </c>
      <c r="M159">
        <v>31173</v>
      </c>
      <c r="N159" t="s">
        <v>26</v>
      </c>
      <c r="O159" t="s">
        <v>27</v>
      </c>
      <c r="P159" t="s">
        <v>25</v>
      </c>
      <c r="Q159">
        <v>3</v>
      </c>
      <c r="R159">
        <v>133.51</v>
      </c>
    </row>
    <row r="160" spans="1:18" x14ac:dyDescent="0.3">
      <c r="A160" t="s">
        <v>381</v>
      </c>
      <c r="B160" t="s">
        <v>382</v>
      </c>
      <c r="C160" t="s">
        <v>68</v>
      </c>
      <c r="D160" t="s">
        <v>42</v>
      </c>
      <c r="E160" s="4">
        <v>45091</v>
      </c>
      <c r="F160" t="s">
        <v>48</v>
      </c>
      <c r="G160" t="s">
        <v>49</v>
      </c>
      <c r="H160" t="s">
        <v>70</v>
      </c>
      <c r="I160" t="s">
        <v>51</v>
      </c>
      <c r="J160">
        <v>3</v>
      </c>
      <c r="K160">
        <v>1355</v>
      </c>
      <c r="L160">
        <v>2483.6999999999998</v>
      </c>
      <c r="M160">
        <v>22631</v>
      </c>
      <c r="N160" t="s">
        <v>61</v>
      </c>
      <c r="O160" t="s">
        <v>37</v>
      </c>
      <c r="P160" t="s">
        <v>52</v>
      </c>
      <c r="Q160">
        <v>37</v>
      </c>
      <c r="R160">
        <v>238.96</v>
      </c>
    </row>
    <row r="161" spans="1:18" x14ac:dyDescent="0.3">
      <c r="A161" t="s">
        <v>383</v>
      </c>
      <c r="B161" t="s">
        <v>384</v>
      </c>
      <c r="C161" t="s">
        <v>31</v>
      </c>
      <c r="D161" t="s">
        <v>59</v>
      </c>
      <c r="E161" s="4">
        <v>43938</v>
      </c>
      <c r="F161" t="s">
        <v>60</v>
      </c>
      <c r="G161" t="s">
        <v>83</v>
      </c>
      <c r="H161" t="s">
        <v>55</v>
      </c>
      <c r="I161" t="s">
        <v>92</v>
      </c>
      <c r="J161">
        <v>8</v>
      </c>
      <c r="K161">
        <v>887</v>
      </c>
      <c r="L161">
        <v>2592.37</v>
      </c>
      <c r="M161">
        <v>37878</v>
      </c>
      <c r="N161" t="s">
        <v>26</v>
      </c>
      <c r="O161" t="s">
        <v>37</v>
      </c>
      <c r="P161" t="s">
        <v>38</v>
      </c>
      <c r="Q161">
        <v>4</v>
      </c>
      <c r="R161">
        <v>120.46</v>
      </c>
    </row>
    <row r="162" spans="1:18" x14ac:dyDescent="0.3">
      <c r="A162" t="s">
        <v>385</v>
      </c>
      <c r="B162" t="s">
        <v>386</v>
      </c>
      <c r="C162" t="s">
        <v>31</v>
      </c>
      <c r="D162" t="s">
        <v>21</v>
      </c>
      <c r="E162" s="4">
        <v>46028</v>
      </c>
      <c r="F162" t="s">
        <v>48</v>
      </c>
      <c r="G162" t="s">
        <v>44</v>
      </c>
      <c r="H162" t="s">
        <v>24</v>
      </c>
      <c r="I162" t="s">
        <v>51</v>
      </c>
      <c r="J162">
        <v>2</v>
      </c>
      <c r="K162">
        <v>1069</v>
      </c>
      <c r="L162">
        <v>4504.2700000000004</v>
      </c>
      <c r="M162">
        <v>27413</v>
      </c>
      <c r="N162" t="s">
        <v>36</v>
      </c>
      <c r="O162" t="s">
        <v>37</v>
      </c>
      <c r="P162" t="s">
        <v>51</v>
      </c>
      <c r="Q162">
        <v>24</v>
      </c>
      <c r="R162">
        <v>179.61</v>
      </c>
    </row>
    <row r="163" spans="1:18" x14ac:dyDescent="0.3">
      <c r="A163" t="s">
        <v>387</v>
      </c>
      <c r="B163" t="s">
        <v>388</v>
      </c>
      <c r="C163" t="s">
        <v>41</v>
      </c>
      <c r="D163" t="s">
        <v>32</v>
      </c>
      <c r="E163" s="4">
        <v>40459</v>
      </c>
      <c r="F163" t="s">
        <v>22</v>
      </c>
      <c r="G163" t="s">
        <v>102</v>
      </c>
      <c r="H163" t="s">
        <v>70</v>
      </c>
      <c r="I163" t="s">
        <v>51</v>
      </c>
      <c r="J163">
        <v>2</v>
      </c>
      <c r="K163">
        <v>1152</v>
      </c>
      <c r="L163">
        <v>3878.48</v>
      </c>
      <c r="M163">
        <v>11470</v>
      </c>
      <c r="N163" t="s">
        <v>36</v>
      </c>
      <c r="O163" t="s">
        <v>27</v>
      </c>
      <c r="P163" t="s">
        <v>38</v>
      </c>
      <c r="Q163">
        <v>5</v>
      </c>
      <c r="R163">
        <v>238.62</v>
      </c>
    </row>
    <row r="164" spans="1:18" x14ac:dyDescent="0.3">
      <c r="A164" t="s">
        <v>389</v>
      </c>
      <c r="B164" t="s">
        <v>390</v>
      </c>
      <c r="C164" t="s">
        <v>41</v>
      </c>
      <c r="D164" t="s">
        <v>82</v>
      </c>
      <c r="E164" s="4">
        <v>40183</v>
      </c>
      <c r="F164" t="s">
        <v>48</v>
      </c>
      <c r="G164" t="s">
        <v>83</v>
      </c>
      <c r="H164" t="s">
        <v>70</v>
      </c>
      <c r="I164" t="s">
        <v>34</v>
      </c>
      <c r="J164">
        <v>7</v>
      </c>
      <c r="K164">
        <v>862</v>
      </c>
      <c r="L164">
        <v>4369.53</v>
      </c>
      <c r="M164">
        <v>40649</v>
      </c>
      <c r="N164" t="s">
        <v>61</v>
      </c>
      <c r="O164" t="s">
        <v>37</v>
      </c>
      <c r="P164" t="s">
        <v>52</v>
      </c>
      <c r="Q164">
        <v>50</v>
      </c>
      <c r="R164">
        <v>78.41</v>
      </c>
    </row>
    <row r="165" spans="1:18" x14ac:dyDescent="0.3">
      <c r="A165" t="s">
        <v>391</v>
      </c>
      <c r="B165" t="s">
        <v>392</v>
      </c>
      <c r="C165" t="s">
        <v>68</v>
      </c>
      <c r="D165" t="s">
        <v>32</v>
      </c>
      <c r="E165" s="4">
        <v>42478</v>
      </c>
      <c r="F165" t="s">
        <v>60</v>
      </c>
      <c r="G165" t="s">
        <v>49</v>
      </c>
      <c r="H165" t="s">
        <v>24</v>
      </c>
      <c r="I165" t="s">
        <v>51</v>
      </c>
      <c r="J165">
        <v>4</v>
      </c>
      <c r="K165">
        <v>488</v>
      </c>
      <c r="L165">
        <v>245.59</v>
      </c>
      <c r="M165">
        <v>16111</v>
      </c>
      <c r="N165" t="s">
        <v>36</v>
      </c>
      <c r="O165" t="s">
        <v>56</v>
      </c>
      <c r="P165" t="s">
        <v>52</v>
      </c>
      <c r="Q165">
        <v>33</v>
      </c>
      <c r="R165">
        <v>169.77</v>
      </c>
    </row>
    <row r="166" spans="1:18" x14ac:dyDescent="0.3">
      <c r="A166" t="s">
        <v>393</v>
      </c>
      <c r="B166" t="s">
        <v>394</v>
      </c>
      <c r="C166" t="s">
        <v>97</v>
      </c>
      <c r="D166" t="s">
        <v>109</v>
      </c>
      <c r="E166" s="4">
        <v>41723</v>
      </c>
      <c r="F166" t="s">
        <v>48</v>
      </c>
      <c r="G166" t="s">
        <v>49</v>
      </c>
      <c r="H166" t="s">
        <v>70</v>
      </c>
      <c r="I166" t="s">
        <v>92</v>
      </c>
      <c r="J166">
        <v>4</v>
      </c>
      <c r="K166">
        <v>428</v>
      </c>
      <c r="L166">
        <v>728.86</v>
      </c>
      <c r="M166">
        <v>25189</v>
      </c>
      <c r="N166" t="s">
        <v>26</v>
      </c>
      <c r="O166" t="s">
        <v>62</v>
      </c>
      <c r="P166" t="s">
        <v>38</v>
      </c>
      <c r="Q166">
        <v>38</v>
      </c>
      <c r="R166">
        <v>141.02000000000001</v>
      </c>
    </row>
    <row r="167" spans="1:18" x14ac:dyDescent="0.3">
      <c r="A167" t="s">
        <v>395</v>
      </c>
      <c r="B167" t="s">
        <v>396</v>
      </c>
      <c r="C167" t="s">
        <v>68</v>
      </c>
      <c r="D167" t="s">
        <v>109</v>
      </c>
      <c r="E167" s="4">
        <v>43640</v>
      </c>
      <c r="F167" t="s">
        <v>69</v>
      </c>
      <c r="G167" t="s">
        <v>83</v>
      </c>
      <c r="H167" t="s">
        <v>50</v>
      </c>
      <c r="I167" t="s">
        <v>34</v>
      </c>
      <c r="J167">
        <v>2</v>
      </c>
      <c r="K167">
        <v>1385</v>
      </c>
      <c r="L167">
        <v>3952.24</v>
      </c>
      <c r="M167">
        <v>46442</v>
      </c>
      <c r="N167" t="s">
        <v>61</v>
      </c>
      <c r="O167" t="s">
        <v>56</v>
      </c>
      <c r="P167" t="s">
        <v>28</v>
      </c>
      <c r="Q167">
        <v>18</v>
      </c>
      <c r="R167">
        <v>206.28</v>
      </c>
    </row>
    <row r="168" spans="1:18" x14ac:dyDescent="0.3">
      <c r="A168" t="s">
        <v>397</v>
      </c>
      <c r="B168" t="s">
        <v>398</v>
      </c>
      <c r="C168" t="s">
        <v>68</v>
      </c>
      <c r="D168" t="s">
        <v>109</v>
      </c>
      <c r="E168" s="4">
        <v>45490</v>
      </c>
      <c r="F168" t="s">
        <v>69</v>
      </c>
      <c r="G168" t="s">
        <v>44</v>
      </c>
      <c r="H168" t="s">
        <v>50</v>
      </c>
      <c r="I168" t="s">
        <v>35</v>
      </c>
      <c r="J168">
        <v>4</v>
      </c>
      <c r="K168">
        <v>355</v>
      </c>
      <c r="L168">
        <v>4598.28</v>
      </c>
      <c r="M168">
        <v>32718</v>
      </c>
      <c r="N168" t="s">
        <v>26</v>
      </c>
      <c r="O168" t="s">
        <v>56</v>
      </c>
      <c r="P168" t="s">
        <v>28</v>
      </c>
      <c r="Q168">
        <v>45</v>
      </c>
      <c r="R168">
        <v>119.15</v>
      </c>
    </row>
    <row r="169" spans="1:18" x14ac:dyDescent="0.3">
      <c r="A169" t="s">
        <v>399</v>
      </c>
      <c r="B169" t="s">
        <v>400</v>
      </c>
      <c r="C169" t="s">
        <v>116</v>
      </c>
      <c r="D169" t="s">
        <v>21</v>
      </c>
      <c r="E169" s="4">
        <v>40593</v>
      </c>
      <c r="F169" t="s">
        <v>48</v>
      </c>
      <c r="G169" t="s">
        <v>23</v>
      </c>
      <c r="H169" t="s">
        <v>55</v>
      </c>
      <c r="I169" t="s">
        <v>51</v>
      </c>
      <c r="J169">
        <v>7</v>
      </c>
      <c r="K169">
        <v>555</v>
      </c>
      <c r="L169">
        <v>4226.6000000000004</v>
      </c>
      <c r="M169">
        <v>6790</v>
      </c>
      <c r="N169" t="s">
        <v>36</v>
      </c>
      <c r="O169" t="s">
        <v>27</v>
      </c>
      <c r="P169" t="s">
        <v>45</v>
      </c>
      <c r="Q169">
        <v>25</v>
      </c>
      <c r="R169">
        <v>167.87</v>
      </c>
    </row>
    <row r="170" spans="1:18" x14ac:dyDescent="0.3">
      <c r="A170" t="s">
        <v>401</v>
      </c>
      <c r="B170" t="s">
        <v>402</v>
      </c>
      <c r="C170" t="s">
        <v>79</v>
      </c>
      <c r="D170" t="s">
        <v>59</v>
      </c>
      <c r="E170" s="4">
        <v>42390</v>
      </c>
      <c r="F170" t="s">
        <v>48</v>
      </c>
      <c r="G170" t="s">
        <v>83</v>
      </c>
      <c r="H170" t="s">
        <v>24</v>
      </c>
      <c r="I170" t="s">
        <v>92</v>
      </c>
      <c r="J170">
        <v>7</v>
      </c>
      <c r="K170">
        <v>202</v>
      </c>
      <c r="L170">
        <v>3908.73</v>
      </c>
      <c r="M170">
        <v>39527</v>
      </c>
      <c r="N170" t="s">
        <v>61</v>
      </c>
      <c r="O170" t="s">
        <v>62</v>
      </c>
      <c r="P170" t="s">
        <v>52</v>
      </c>
      <c r="Q170">
        <v>4</v>
      </c>
      <c r="R170">
        <v>44.35</v>
      </c>
    </row>
    <row r="171" spans="1:18" x14ac:dyDescent="0.3">
      <c r="A171" t="s">
        <v>403</v>
      </c>
      <c r="B171" t="s">
        <v>404</v>
      </c>
      <c r="C171" t="s">
        <v>79</v>
      </c>
      <c r="D171" t="s">
        <v>42</v>
      </c>
      <c r="E171" s="4">
        <v>45615</v>
      </c>
      <c r="F171" t="s">
        <v>65</v>
      </c>
      <c r="G171" t="s">
        <v>83</v>
      </c>
      <c r="H171" t="s">
        <v>50</v>
      </c>
      <c r="I171" t="s">
        <v>76</v>
      </c>
      <c r="J171">
        <v>2</v>
      </c>
      <c r="K171">
        <v>1044</v>
      </c>
      <c r="L171">
        <v>970.49</v>
      </c>
      <c r="M171">
        <v>42178</v>
      </c>
      <c r="N171" t="s">
        <v>26</v>
      </c>
      <c r="O171" t="s">
        <v>27</v>
      </c>
      <c r="P171" t="s">
        <v>52</v>
      </c>
      <c r="Q171">
        <v>19</v>
      </c>
      <c r="R171">
        <v>186.39</v>
      </c>
    </row>
    <row r="172" spans="1:18" x14ac:dyDescent="0.3">
      <c r="A172" t="s">
        <v>405</v>
      </c>
      <c r="B172" t="s">
        <v>406</v>
      </c>
      <c r="C172" t="s">
        <v>20</v>
      </c>
      <c r="D172" t="s">
        <v>59</v>
      </c>
      <c r="E172" s="4">
        <v>44372</v>
      </c>
      <c r="F172" t="s">
        <v>69</v>
      </c>
      <c r="G172" t="s">
        <v>23</v>
      </c>
      <c r="H172" t="s">
        <v>50</v>
      </c>
      <c r="I172" t="s">
        <v>25</v>
      </c>
      <c r="J172">
        <v>3</v>
      </c>
      <c r="K172">
        <v>70</v>
      </c>
      <c r="L172">
        <v>3429.53</v>
      </c>
      <c r="M172">
        <v>42467</v>
      </c>
      <c r="N172" t="s">
        <v>26</v>
      </c>
      <c r="O172" t="s">
        <v>56</v>
      </c>
      <c r="P172" t="s">
        <v>45</v>
      </c>
      <c r="Q172">
        <v>11</v>
      </c>
      <c r="R172">
        <v>96.3</v>
      </c>
    </row>
    <row r="173" spans="1:18" x14ac:dyDescent="0.3">
      <c r="A173" t="s">
        <v>407</v>
      </c>
      <c r="B173" t="s">
        <v>408</v>
      </c>
      <c r="C173" t="s">
        <v>97</v>
      </c>
      <c r="D173" t="s">
        <v>21</v>
      </c>
      <c r="E173" s="4">
        <v>42316</v>
      </c>
      <c r="F173" t="s">
        <v>43</v>
      </c>
      <c r="G173" t="s">
        <v>33</v>
      </c>
      <c r="H173" t="s">
        <v>24</v>
      </c>
      <c r="I173" t="s">
        <v>76</v>
      </c>
      <c r="J173">
        <v>6</v>
      </c>
      <c r="K173">
        <v>1174</v>
      </c>
      <c r="L173">
        <v>4674.6099999999997</v>
      </c>
      <c r="M173">
        <v>4875</v>
      </c>
      <c r="N173" t="s">
        <v>61</v>
      </c>
      <c r="O173" t="s">
        <v>56</v>
      </c>
      <c r="P173" t="s">
        <v>45</v>
      </c>
      <c r="Q173">
        <v>48</v>
      </c>
      <c r="R173">
        <v>108.28</v>
      </c>
    </row>
    <row r="174" spans="1:18" x14ac:dyDescent="0.3">
      <c r="A174" t="s">
        <v>409</v>
      </c>
      <c r="B174" t="s">
        <v>410</v>
      </c>
      <c r="C174" t="s">
        <v>97</v>
      </c>
      <c r="D174" t="s">
        <v>42</v>
      </c>
      <c r="E174" s="4">
        <v>45414</v>
      </c>
      <c r="F174" t="s">
        <v>65</v>
      </c>
      <c r="G174" t="s">
        <v>33</v>
      </c>
      <c r="H174" t="s">
        <v>75</v>
      </c>
      <c r="I174" t="s">
        <v>51</v>
      </c>
      <c r="J174">
        <v>2</v>
      </c>
      <c r="K174">
        <v>105</v>
      </c>
      <c r="L174">
        <v>1172.47</v>
      </c>
      <c r="M174">
        <v>7411</v>
      </c>
      <c r="N174" t="s">
        <v>26</v>
      </c>
      <c r="O174" t="s">
        <v>37</v>
      </c>
      <c r="P174" t="s">
        <v>25</v>
      </c>
      <c r="Q174">
        <v>21</v>
      </c>
      <c r="R174">
        <v>66.209999999999994</v>
      </c>
    </row>
    <row r="175" spans="1:18" x14ac:dyDescent="0.3">
      <c r="A175" t="s">
        <v>411</v>
      </c>
      <c r="B175" t="s">
        <v>412</v>
      </c>
      <c r="C175" t="s">
        <v>31</v>
      </c>
      <c r="D175" t="s">
        <v>82</v>
      </c>
      <c r="E175" s="4">
        <v>42481</v>
      </c>
      <c r="F175" t="s">
        <v>69</v>
      </c>
      <c r="G175" t="s">
        <v>102</v>
      </c>
      <c r="H175" t="s">
        <v>24</v>
      </c>
      <c r="I175" t="s">
        <v>92</v>
      </c>
      <c r="J175">
        <v>8</v>
      </c>
      <c r="K175">
        <v>103</v>
      </c>
      <c r="L175">
        <v>366.83</v>
      </c>
      <c r="M175">
        <v>6284</v>
      </c>
      <c r="N175" t="s">
        <v>61</v>
      </c>
      <c r="O175" t="s">
        <v>37</v>
      </c>
      <c r="P175" t="s">
        <v>51</v>
      </c>
      <c r="Q175">
        <v>43</v>
      </c>
      <c r="R175">
        <v>218.37</v>
      </c>
    </row>
    <row r="176" spans="1:18" x14ac:dyDescent="0.3">
      <c r="A176" t="s">
        <v>413</v>
      </c>
      <c r="B176" t="s">
        <v>414</v>
      </c>
      <c r="C176" t="s">
        <v>116</v>
      </c>
      <c r="D176" t="s">
        <v>59</v>
      </c>
      <c r="E176" s="4">
        <v>42070</v>
      </c>
      <c r="F176" t="s">
        <v>65</v>
      </c>
      <c r="G176" t="s">
        <v>83</v>
      </c>
      <c r="H176" t="s">
        <v>75</v>
      </c>
      <c r="I176" t="s">
        <v>76</v>
      </c>
      <c r="J176">
        <v>7</v>
      </c>
      <c r="K176">
        <v>552</v>
      </c>
      <c r="L176">
        <v>872.09</v>
      </c>
      <c r="M176">
        <v>15997</v>
      </c>
      <c r="N176" t="s">
        <v>61</v>
      </c>
      <c r="O176" t="s">
        <v>56</v>
      </c>
      <c r="P176" t="s">
        <v>51</v>
      </c>
      <c r="Q176">
        <v>3</v>
      </c>
      <c r="R176">
        <v>218.69</v>
      </c>
    </row>
    <row r="177" spans="1:18" x14ac:dyDescent="0.3">
      <c r="A177" t="s">
        <v>415</v>
      </c>
      <c r="B177" t="s">
        <v>416</v>
      </c>
      <c r="C177" t="s">
        <v>116</v>
      </c>
      <c r="D177" t="s">
        <v>82</v>
      </c>
      <c r="E177" s="4">
        <v>43497</v>
      </c>
      <c r="F177" t="s">
        <v>69</v>
      </c>
      <c r="G177" t="s">
        <v>102</v>
      </c>
      <c r="H177" t="s">
        <v>70</v>
      </c>
      <c r="I177" t="s">
        <v>51</v>
      </c>
      <c r="J177">
        <v>4</v>
      </c>
      <c r="K177">
        <v>468</v>
      </c>
      <c r="L177">
        <v>3988.47</v>
      </c>
      <c r="M177">
        <v>14395</v>
      </c>
      <c r="N177" t="s">
        <v>36</v>
      </c>
      <c r="O177" t="s">
        <v>62</v>
      </c>
      <c r="P177" t="s">
        <v>45</v>
      </c>
      <c r="Q177">
        <v>34</v>
      </c>
      <c r="R177">
        <v>134.32</v>
      </c>
    </row>
    <row r="178" spans="1:18" x14ac:dyDescent="0.3">
      <c r="A178" t="s">
        <v>417</v>
      </c>
      <c r="B178" t="s">
        <v>418</v>
      </c>
      <c r="C178" t="s">
        <v>20</v>
      </c>
      <c r="D178" t="s">
        <v>32</v>
      </c>
      <c r="E178" s="4">
        <v>42022</v>
      </c>
      <c r="F178" t="s">
        <v>69</v>
      </c>
      <c r="G178" t="s">
        <v>83</v>
      </c>
      <c r="H178" t="s">
        <v>75</v>
      </c>
      <c r="I178" t="s">
        <v>76</v>
      </c>
      <c r="J178">
        <v>4</v>
      </c>
      <c r="K178">
        <v>892</v>
      </c>
      <c r="L178">
        <v>1339.94</v>
      </c>
      <c r="M178">
        <v>45446</v>
      </c>
      <c r="N178" t="s">
        <v>26</v>
      </c>
      <c r="O178" t="s">
        <v>27</v>
      </c>
      <c r="P178" t="s">
        <v>38</v>
      </c>
      <c r="Q178">
        <v>31</v>
      </c>
      <c r="R178">
        <v>238.77</v>
      </c>
    </row>
    <row r="179" spans="1:18" x14ac:dyDescent="0.3">
      <c r="A179" t="s">
        <v>419</v>
      </c>
      <c r="B179" t="s">
        <v>420</v>
      </c>
      <c r="C179" t="s">
        <v>97</v>
      </c>
      <c r="D179" t="s">
        <v>59</v>
      </c>
      <c r="E179" s="4">
        <v>42077</v>
      </c>
      <c r="F179" t="s">
        <v>65</v>
      </c>
      <c r="G179" t="s">
        <v>23</v>
      </c>
      <c r="H179" t="s">
        <v>70</v>
      </c>
      <c r="I179" t="s">
        <v>25</v>
      </c>
      <c r="J179">
        <v>0</v>
      </c>
      <c r="K179">
        <v>1159</v>
      </c>
      <c r="L179">
        <v>930.94</v>
      </c>
      <c r="M179">
        <v>23999</v>
      </c>
      <c r="N179" t="s">
        <v>61</v>
      </c>
      <c r="O179" t="s">
        <v>27</v>
      </c>
      <c r="P179" t="s">
        <v>38</v>
      </c>
      <c r="Q179">
        <v>28</v>
      </c>
      <c r="R179">
        <v>124.14</v>
      </c>
    </row>
    <row r="180" spans="1:18" x14ac:dyDescent="0.3">
      <c r="A180" t="s">
        <v>421</v>
      </c>
      <c r="B180" t="s">
        <v>422</v>
      </c>
      <c r="C180" t="s">
        <v>116</v>
      </c>
      <c r="D180" t="s">
        <v>32</v>
      </c>
      <c r="E180" s="4">
        <v>44536</v>
      </c>
      <c r="F180" t="s">
        <v>22</v>
      </c>
      <c r="G180" t="s">
        <v>44</v>
      </c>
      <c r="H180" t="s">
        <v>34</v>
      </c>
      <c r="I180" t="s">
        <v>35</v>
      </c>
      <c r="J180">
        <v>8</v>
      </c>
      <c r="K180">
        <v>58</v>
      </c>
      <c r="L180">
        <v>4234.04</v>
      </c>
      <c r="M180">
        <v>14668</v>
      </c>
      <c r="N180" t="s">
        <v>26</v>
      </c>
      <c r="O180" t="s">
        <v>62</v>
      </c>
      <c r="P180" t="s">
        <v>25</v>
      </c>
      <c r="Q180">
        <v>12</v>
      </c>
      <c r="R180">
        <v>136.54</v>
      </c>
    </row>
    <row r="181" spans="1:18" x14ac:dyDescent="0.3">
      <c r="A181" t="s">
        <v>423</v>
      </c>
      <c r="B181" t="s">
        <v>424</v>
      </c>
      <c r="C181" t="s">
        <v>116</v>
      </c>
      <c r="D181" t="s">
        <v>109</v>
      </c>
      <c r="E181" s="4">
        <v>43824</v>
      </c>
      <c r="F181" t="s">
        <v>69</v>
      </c>
      <c r="G181" t="s">
        <v>49</v>
      </c>
      <c r="H181" t="s">
        <v>55</v>
      </c>
      <c r="I181" t="s">
        <v>92</v>
      </c>
      <c r="J181">
        <v>0</v>
      </c>
      <c r="K181">
        <v>119</v>
      </c>
      <c r="L181">
        <v>4773.6400000000003</v>
      </c>
      <c r="M181">
        <v>49237</v>
      </c>
      <c r="N181" t="s">
        <v>36</v>
      </c>
      <c r="O181" t="s">
        <v>37</v>
      </c>
      <c r="P181" t="s">
        <v>38</v>
      </c>
      <c r="Q181">
        <v>49</v>
      </c>
      <c r="R181">
        <v>99.21</v>
      </c>
    </row>
    <row r="182" spans="1:18" x14ac:dyDescent="0.3">
      <c r="A182" t="s">
        <v>425</v>
      </c>
      <c r="B182" t="s">
        <v>426</v>
      </c>
      <c r="C182" t="s">
        <v>41</v>
      </c>
      <c r="D182" t="s">
        <v>109</v>
      </c>
      <c r="E182" s="4">
        <v>42347</v>
      </c>
      <c r="F182" t="s">
        <v>22</v>
      </c>
      <c r="G182" t="s">
        <v>102</v>
      </c>
      <c r="H182" t="s">
        <v>24</v>
      </c>
      <c r="I182" t="s">
        <v>92</v>
      </c>
      <c r="J182">
        <v>7</v>
      </c>
      <c r="K182">
        <v>1383</v>
      </c>
      <c r="L182">
        <v>3683.17</v>
      </c>
      <c r="M182">
        <v>8433</v>
      </c>
      <c r="N182" t="s">
        <v>36</v>
      </c>
      <c r="O182" t="s">
        <v>62</v>
      </c>
      <c r="P182" t="s">
        <v>45</v>
      </c>
      <c r="Q182">
        <v>50</v>
      </c>
      <c r="R182">
        <v>157.99</v>
      </c>
    </row>
    <row r="183" spans="1:18" x14ac:dyDescent="0.3">
      <c r="A183" t="s">
        <v>427</v>
      </c>
      <c r="B183" t="s">
        <v>428</v>
      </c>
      <c r="C183" t="s">
        <v>41</v>
      </c>
      <c r="D183" t="s">
        <v>59</v>
      </c>
      <c r="E183" s="4">
        <v>43876</v>
      </c>
      <c r="F183" t="s">
        <v>43</v>
      </c>
      <c r="G183" t="s">
        <v>83</v>
      </c>
      <c r="H183" t="s">
        <v>55</v>
      </c>
      <c r="I183" t="s">
        <v>92</v>
      </c>
      <c r="J183">
        <v>2</v>
      </c>
      <c r="K183">
        <v>805</v>
      </c>
      <c r="L183">
        <v>1539.87</v>
      </c>
      <c r="M183">
        <v>16595</v>
      </c>
      <c r="N183" t="s">
        <v>26</v>
      </c>
      <c r="O183" t="s">
        <v>37</v>
      </c>
      <c r="P183" t="s">
        <v>38</v>
      </c>
      <c r="Q183">
        <v>19</v>
      </c>
      <c r="R183">
        <v>149.72</v>
      </c>
    </row>
    <row r="184" spans="1:18" x14ac:dyDescent="0.3">
      <c r="A184" t="s">
        <v>429</v>
      </c>
      <c r="B184" t="s">
        <v>430</v>
      </c>
      <c r="C184" t="s">
        <v>97</v>
      </c>
      <c r="D184" t="s">
        <v>82</v>
      </c>
      <c r="E184" s="4">
        <v>45741</v>
      </c>
      <c r="F184" t="s">
        <v>43</v>
      </c>
      <c r="G184" t="s">
        <v>102</v>
      </c>
      <c r="H184" t="s">
        <v>34</v>
      </c>
      <c r="I184" t="s">
        <v>25</v>
      </c>
      <c r="J184">
        <v>8</v>
      </c>
      <c r="K184">
        <v>391</v>
      </c>
      <c r="L184">
        <v>2172</v>
      </c>
      <c r="M184">
        <v>10604</v>
      </c>
      <c r="N184" t="s">
        <v>26</v>
      </c>
      <c r="O184" t="s">
        <v>56</v>
      </c>
      <c r="P184" t="s">
        <v>51</v>
      </c>
      <c r="Q184">
        <v>44</v>
      </c>
      <c r="R184">
        <v>10.25</v>
      </c>
    </row>
    <row r="185" spans="1:18" x14ac:dyDescent="0.3">
      <c r="A185" t="s">
        <v>431</v>
      </c>
      <c r="B185" t="s">
        <v>432</v>
      </c>
      <c r="C185" t="s">
        <v>97</v>
      </c>
      <c r="D185" t="s">
        <v>42</v>
      </c>
      <c r="E185" s="4">
        <v>44789</v>
      </c>
      <c r="F185" t="s">
        <v>22</v>
      </c>
      <c r="G185" t="s">
        <v>49</v>
      </c>
      <c r="H185" t="s">
        <v>55</v>
      </c>
      <c r="I185" t="s">
        <v>35</v>
      </c>
      <c r="J185">
        <v>8</v>
      </c>
      <c r="K185">
        <v>64</v>
      </c>
      <c r="L185">
        <v>656.25</v>
      </c>
      <c r="M185">
        <v>46758</v>
      </c>
      <c r="N185" t="s">
        <v>61</v>
      </c>
      <c r="O185" t="s">
        <v>62</v>
      </c>
      <c r="P185" t="s">
        <v>51</v>
      </c>
      <c r="Q185">
        <v>37</v>
      </c>
      <c r="R185">
        <v>12.64</v>
      </c>
    </row>
    <row r="186" spans="1:18" x14ac:dyDescent="0.3">
      <c r="A186" t="s">
        <v>433</v>
      </c>
      <c r="B186" t="s">
        <v>434</v>
      </c>
      <c r="C186" t="s">
        <v>79</v>
      </c>
      <c r="D186" t="s">
        <v>59</v>
      </c>
      <c r="E186" s="4">
        <v>43064</v>
      </c>
      <c r="F186" t="s">
        <v>65</v>
      </c>
      <c r="G186" t="s">
        <v>102</v>
      </c>
      <c r="H186" t="s">
        <v>70</v>
      </c>
      <c r="I186" t="s">
        <v>51</v>
      </c>
      <c r="J186">
        <v>7</v>
      </c>
      <c r="K186">
        <v>1269</v>
      </c>
      <c r="L186">
        <v>4868.47</v>
      </c>
      <c r="M186">
        <v>10421</v>
      </c>
      <c r="N186" t="s">
        <v>61</v>
      </c>
      <c r="O186" t="s">
        <v>27</v>
      </c>
      <c r="P186" t="s">
        <v>51</v>
      </c>
      <c r="Q186">
        <v>42</v>
      </c>
      <c r="R186">
        <v>64.42</v>
      </c>
    </row>
    <row r="187" spans="1:18" x14ac:dyDescent="0.3">
      <c r="A187" t="s">
        <v>435</v>
      </c>
      <c r="B187" t="s">
        <v>436</v>
      </c>
      <c r="C187" t="s">
        <v>79</v>
      </c>
      <c r="D187" t="s">
        <v>21</v>
      </c>
      <c r="E187" s="4">
        <v>44431</v>
      </c>
      <c r="F187" t="s">
        <v>48</v>
      </c>
      <c r="G187" t="s">
        <v>33</v>
      </c>
      <c r="H187" t="s">
        <v>55</v>
      </c>
      <c r="I187" t="s">
        <v>92</v>
      </c>
      <c r="J187">
        <v>5</v>
      </c>
      <c r="K187">
        <v>1022</v>
      </c>
      <c r="L187">
        <v>311.85000000000002</v>
      </c>
      <c r="M187">
        <v>3063</v>
      </c>
      <c r="N187" t="s">
        <v>26</v>
      </c>
      <c r="O187" t="s">
        <v>56</v>
      </c>
      <c r="P187" t="s">
        <v>28</v>
      </c>
      <c r="Q187">
        <v>33</v>
      </c>
      <c r="R187">
        <v>65.67</v>
      </c>
    </row>
    <row r="188" spans="1:18" x14ac:dyDescent="0.3">
      <c r="A188" t="s">
        <v>437</v>
      </c>
      <c r="B188" t="s">
        <v>438</v>
      </c>
      <c r="C188" t="s">
        <v>97</v>
      </c>
      <c r="D188" t="s">
        <v>32</v>
      </c>
      <c r="E188" s="4">
        <v>42337</v>
      </c>
      <c r="F188" t="s">
        <v>43</v>
      </c>
      <c r="G188" t="s">
        <v>44</v>
      </c>
      <c r="H188" t="s">
        <v>34</v>
      </c>
      <c r="I188" t="s">
        <v>34</v>
      </c>
      <c r="J188">
        <v>7</v>
      </c>
      <c r="K188">
        <v>837</v>
      </c>
      <c r="L188">
        <v>2887.23</v>
      </c>
      <c r="M188">
        <v>29598</v>
      </c>
      <c r="N188" t="s">
        <v>26</v>
      </c>
      <c r="O188" t="s">
        <v>27</v>
      </c>
      <c r="P188" t="s">
        <v>52</v>
      </c>
      <c r="Q188">
        <v>2</v>
      </c>
      <c r="R188">
        <v>86.6</v>
      </c>
    </row>
    <row r="189" spans="1:18" x14ac:dyDescent="0.3">
      <c r="A189" t="s">
        <v>439</v>
      </c>
      <c r="B189" t="s">
        <v>440</v>
      </c>
      <c r="C189" t="s">
        <v>79</v>
      </c>
      <c r="D189" t="s">
        <v>32</v>
      </c>
      <c r="E189" s="4">
        <v>45901</v>
      </c>
      <c r="F189" t="s">
        <v>43</v>
      </c>
      <c r="G189" t="s">
        <v>83</v>
      </c>
      <c r="H189" t="s">
        <v>70</v>
      </c>
      <c r="I189" t="s">
        <v>34</v>
      </c>
      <c r="J189">
        <v>7</v>
      </c>
      <c r="K189">
        <v>527</v>
      </c>
      <c r="L189">
        <v>2660.57</v>
      </c>
      <c r="M189">
        <v>28707</v>
      </c>
      <c r="N189" t="s">
        <v>61</v>
      </c>
      <c r="O189" t="s">
        <v>56</v>
      </c>
      <c r="P189" t="s">
        <v>51</v>
      </c>
      <c r="Q189">
        <v>50</v>
      </c>
      <c r="R189">
        <v>46.33</v>
      </c>
    </row>
    <row r="190" spans="1:18" x14ac:dyDescent="0.3">
      <c r="A190" t="s">
        <v>441</v>
      </c>
      <c r="B190" t="s">
        <v>442</v>
      </c>
      <c r="C190" t="s">
        <v>79</v>
      </c>
      <c r="D190" t="s">
        <v>82</v>
      </c>
      <c r="E190" s="4">
        <v>41196</v>
      </c>
      <c r="F190" t="s">
        <v>48</v>
      </c>
      <c r="G190" t="s">
        <v>83</v>
      </c>
      <c r="H190" t="s">
        <v>24</v>
      </c>
      <c r="I190" t="s">
        <v>25</v>
      </c>
      <c r="J190">
        <v>0</v>
      </c>
      <c r="K190">
        <v>566</v>
      </c>
      <c r="L190">
        <v>876.69</v>
      </c>
      <c r="M190">
        <v>2546</v>
      </c>
      <c r="N190" t="s">
        <v>26</v>
      </c>
      <c r="O190" t="s">
        <v>27</v>
      </c>
      <c r="P190" t="s">
        <v>51</v>
      </c>
      <c r="Q190">
        <v>1</v>
      </c>
      <c r="R190">
        <v>221.19</v>
      </c>
    </row>
    <row r="191" spans="1:18" x14ac:dyDescent="0.3">
      <c r="A191" t="s">
        <v>443</v>
      </c>
      <c r="B191" t="s">
        <v>444</v>
      </c>
      <c r="C191" t="s">
        <v>97</v>
      </c>
      <c r="D191" t="s">
        <v>42</v>
      </c>
      <c r="E191" s="4">
        <v>43342</v>
      </c>
      <c r="F191" t="s">
        <v>43</v>
      </c>
      <c r="G191" t="s">
        <v>83</v>
      </c>
      <c r="H191" t="s">
        <v>55</v>
      </c>
      <c r="I191" t="s">
        <v>92</v>
      </c>
      <c r="J191">
        <v>5</v>
      </c>
      <c r="K191">
        <v>767</v>
      </c>
      <c r="L191">
        <v>1526.66</v>
      </c>
      <c r="M191">
        <v>1938</v>
      </c>
      <c r="N191" t="s">
        <v>61</v>
      </c>
      <c r="O191" t="s">
        <v>56</v>
      </c>
      <c r="P191" t="s">
        <v>52</v>
      </c>
      <c r="Q191">
        <v>20</v>
      </c>
      <c r="R191">
        <v>152.33000000000001</v>
      </c>
    </row>
    <row r="192" spans="1:18" x14ac:dyDescent="0.3">
      <c r="A192" t="s">
        <v>445</v>
      </c>
      <c r="B192" t="s">
        <v>446</v>
      </c>
      <c r="C192" t="s">
        <v>79</v>
      </c>
      <c r="D192" t="s">
        <v>32</v>
      </c>
      <c r="E192" s="4">
        <v>41737</v>
      </c>
      <c r="F192" t="s">
        <v>69</v>
      </c>
      <c r="G192" t="s">
        <v>33</v>
      </c>
      <c r="H192" t="s">
        <v>34</v>
      </c>
      <c r="I192" t="s">
        <v>34</v>
      </c>
      <c r="J192">
        <v>6</v>
      </c>
      <c r="K192">
        <v>603</v>
      </c>
      <c r="L192">
        <v>3844.17</v>
      </c>
      <c r="M192">
        <v>10866</v>
      </c>
      <c r="N192" t="s">
        <v>26</v>
      </c>
      <c r="O192" t="s">
        <v>37</v>
      </c>
      <c r="P192" t="s">
        <v>45</v>
      </c>
      <c r="Q192">
        <v>40</v>
      </c>
      <c r="R192">
        <v>137.09</v>
      </c>
    </row>
    <row r="193" spans="1:18" x14ac:dyDescent="0.3">
      <c r="A193" t="s">
        <v>447</v>
      </c>
      <c r="B193" t="s">
        <v>448</v>
      </c>
      <c r="C193" t="s">
        <v>31</v>
      </c>
      <c r="D193" t="s">
        <v>59</v>
      </c>
      <c r="E193" s="4">
        <v>40306</v>
      </c>
      <c r="F193" t="s">
        <v>48</v>
      </c>
      <c r="G193" t="s">
        <v>49</v>
      </c>
      <c r="H193" t="s">
        <v>34</v>
      </c>
      <c r="I193" t="s">
        <v>51</v>
      </c>
      <c r="J193">
        <v>6</v>
      </c>
      <c r="K193">
        <v>243</v>
      </c>
      <c r="L193">
        <v>4097.5</v>
      </c>
      <c r="M193">
        <v>39092</v>
      </c>
      <c r="N193" t="s">
        <v>26</v>
      </c>
      <c r="O193" t="s">
        <v>27</v>
      </c>
      <c r="P193" t="s">
        <v>25</v>
      </c>
      <c r="Q193">
        <v>10</v>
      </c>
      <c r="R193">
        <v>58.62</v>
      </c>
    </row>
    <row r="194" spans="1:18" x14ac:dyDescent="0.3">
      <c r="A194" t="s">
        <v>449</v>
      </c>
      <c r="B194" t="s">
        <v>450</v>
      </c>
      <c r="C194" t="s">
        <v>97</v>
      </c>
      <c r="D194" t="s">
        <v>59</v>
      </c>
      <c r="E194" s="4">
        <v>43966</v>
      </c>
      <c r="F194" t="s">
        <v>22</v>
      </c>
      <c r="G194" t="s">
        <v>102</v>
      </c>
      <c r="H194" t="s">
        <v>24</v>
      </c>
      <c r="I194" t="s">
        <v>25</v>
      </c>
      <c r="J194">
        <v>5</v>
      </c>
      <c r="K194">
        <v>841</v>
      </c>
      <c r="L194">
        <v>3152.14</v>
      </c>
      <c r="M194">
        <v>18131</v>
      </c>
      <c r="N194" t="s">
        <v>61</v>
      </c>
      <c r="O194" t="s">
        <v>27</v>
      </c>
      <c r="P194" t="s">
        <v>45</v>
      </c>
      <c r="Q194">
        <v>19</v>
      </c>
      <c r="R194">
        <v>230.82</v>
      </c>
    </row>
    <row r="195" spans="1:18" x14ac:dyDescent="0.3">
      <c r="A195" t="s">
        <v>451</v>
      </c>
      <c r="B195" t="s">
        <v>452</v>
      </c>
      <c r="C195" t="s">
        <v>97</v>
      </c>
      <c r="D195" t="s">
        <v>109</v>
      </c>
      <c r="E195" s="4">
        <v>43193</v>
      </c>
      <c r="F195" t="s">
        <v>22</v>
      </c>
      <c r="G195" t="s">
        <v>44</v>
      </c>
      <c r="H195" t="s">
        <v>50</v>
      </c>
      <c r="I195" t="s">
        <v>76</v>
      </c>
      <c r="J195">
        <v>0</v>
      </c>
      <c r="K195">
        <v>421</v>
      </c>
      <c r="L195">
        <v>2311.3000000000002</v>
      </c>
      <c r="M195">
        <v>10845</v>
      </c>
      <c r="N195" t="s">
        <v>61</v>
      </c>
      <c r="O195" t="s">
        <v>56</v>
      </c>
      <c r="P195" t="s">
        <v>25</v>
      </c>
      <c r="Q195">
        <v>4</v>
      </c>
      <c r="R195">
        <v>228.7</v>
      </c>
    </row>
    <row r="196" spans="1:18" x14ac:dyDescent="0.3">
      <c r="A196" t="s">
        <v>453</v>
      </c>
      <c r="B196" t="s">
        <v>454</v>
      </c>
      <c r="C196" t="s">
        <v>68</v>
      </c>
      <c r="D196" t="s">
        <v>109</v>
      </c>
      <c r="E196" s="4">
        <v>45967</v>
      </c>
      <c r="F196" t="s">
        <v>69</v>
      </c>
      <c r="G196" t="s">
        <v>44</v>
      </c>
      <c r="H196" t="s">
        <v>50</v>
      </c>
      <c r="I196" t="s">
        <v>35</v>
      </c>
      <c r="J196">
        <v>4</v>
      </c>
      <c r="K196">
        <v>826</v>
      </c>
      <c r="L196">
        <v>234.4</v>
      </c>
      <c r="M196">
        <v>8557</v>
      </c>
      <c r="N196" t="s">
        <v>61</v>
      </c>
      <c r="O196" t="s">
        <v>62</v>
      </c>
      <c r="P196" t="s">
        <v>51</v>
      </c>
      <c r="Q196">
        <v>42</v>
      </c>
      <c r="R196">
        <v>208.02</v>
      </c>
    </row>
    <row r="197" spans="1:18" x14ac:dyDescent="0.3">
      <c r="A197" t="s">
        <v>455</v>
      </c>
      <c r="B197" t="s">
        <v>456</v>
      </c>
      <c r="C197" t="s">
        <v>20</v>
      </c>
      <c r="D197" t="s">
        <v>42</v>
      </c>
      <c r="E197" s="4">
        <v>40452</v>
      </c>
      <c r="F197" t="s">
        <v>43</v>
      </c>
      <c r="G197" t="s">
        <v>83</v>
      </c>
      <c r="H197" t="s">
        <v>55</v>
      </c>
      <c r="I197" t="s">
        <v>92</v>
      </c>
      <c r="J197">
        <v>1</v>
      </c>
      <c r="K197">
        <v>541</v>
      </c>
      <c r="L197">
        <v>3142.07</v>
      </c>
      <c r="M197">
        <v>10437</v>
      </c>
      <c r="N197" t="s">
        <v>26</v>
      </c>
      <c r="O197" t="s">
        <v>27</v>
      </c>
      <c r="P197" t="s">
        <v>52</v>
      </c>
      <c r="Q197">
        <v>31</v>
      </c>
      <c r="R197">
        <v>186.48</v>
      </c>
    </row>
    <row r="198" spans="1:18" x14ac:dyDescent="0.3">
      <c r="A198" t="s">
        <v>457</v>
      </c>
      <c r="B198" t="s">
        <v>458</v>
      </c>
      <c r="C198" t="s">
        <v>97</v>
      </c>
      <c r="D198" t="s">
        <v>82</v>
      </c>
      <c r="E198" s="4">
        <v>44497</v>
      </c>
      <c r="F198" t="s">
        <v>43</v>
      </c>
      <c r="G198" t="s">
        <v>83</v>
      </c>
      <c r="H198" t="s">
        <v>34</v>
      </c>
      <c r="I198" t="s">
        <v>25</v>
      </c>
      <c r="J198">
        <v>2</v>
      </c>
      <c r="K198">
        <v>1150</v>
      </c>
      <c r="L198">
        <v>3200.84</v>
      </c>
      <c r="M198">
        <v>32234</v>
      </c>
      <c r="N198" t="s">
        <v>36</v>
      </c>
      <c r="O198" t="s">
        <v>27</v>
      </c>
      <c r="P198" t="s">
        <v>45</v>
      </c>
      <c r="Q198">
        <v>12</v>
      </c>
      <c r="R198">
        <v>181.13</v>
      </c>
    </row>
    <row r="199" spans="1:18" x14ac:dyDescent="0.3">
      <c r="A199" t="s">
        <v>459</v>
      </c>
      <c r="B199" t="s">
        <v>460</v>
      </c>
      <c r="C199" t="s">
        <v>97</v>
      </c>
      <c r="D199" t="s">
        <v>21</v>
      </c>
      <c r="E199" s="4">
        <v>45182</v>
      </c>
      <c r="F199" t="s">
        <v>69</v>
      </c>
      <c r="G199" t="s">
        <v>44</v>
      </c>
      <c r="H199" t="s">
        <v>75</v>
      </c>
      <c r="I199" t="s">
        <v>25</v>
      </c>
      <c r="J199">
        <v>3</v>
      </c>
      <c r="K199">
        <v>1281</v>
      </c>
      <c r="L199">
        <v>984.72</v>
      </c>
      <c r="M199">
        <v>16968</v>
      </c>
      <c r="N199" t="s">
        <v>26</v>
      </c>
      <c r="O199" t="s">
        <v>62</v>
      </c>
      <c r="P199" t="s">
        <v>28</v>
      </c>
      <c r="Q199">
        <v>41</v>
      </c>
      <c r="R199">
        <v>25.18</v>
      </c>
    </row>
    <row r="200" spans="1:18" x14ac:dyDescent="0.3">
      <c r="A200" t="s">
        <v>461</v>
      </c>
      <c r="B200" t="s">
        <v>462</v>
      </c>
      <c r="C200" t="s">
        <v>31</v>
      </c>
      <c r="D200" t="s">
        <v>21</v>
      </c>
      <c r="E200" s="4">
        <v>41957</v>
      </c>
      <c r="F200" t="s">
        <v>69</v>
      </c>
      <c r="G200" t="s">
        <v>23</v>
      </c>
      <c r="H200" t="s">
        <v>50</v>
      </c>
      <c r="I200" t="s">
        <v>76</v>
      </c>
      <c r="J200">
        <v>8</v>
      </c>
      <c r="K200">
        <v>484</v>
      </c>
      <c r="L200">
        <v>3729.71</v>
      </c>
      <c r="M200">
        <v>46772</v>
      </c>
      <c r="N200" t="s">
        <v>26</v>
      </c>
      <c r="O200" t="s">
        <v>37</v>
      </c>
      <c r="P200" t="s">
        <v>45</v>
      </c>
      <c r="Q200">
        <v>44</v>
      </c>
      <c r="R200">
        <v>33.07</v>
      </c>
    </row>
    <row r="201" spans="1:18" x14ac:dyDescent="0.3">
      <c r="A201" t="s">
        <v>463</v>
      </c>
      <c r="B201" t="s">
        <v>464</v>
      </c>
      <c r="C201" t="s">
        <v>41</v>
      </c>
      <c r="D201" t="s">
        <v>42</v>
      </c>
      <c r="E201" s="4">
        <v>41849</v>
      </c>
      <c r="F201" t="s">
        <v>43</v>
      </c>
      <c r="G201" t="s">
        <v>33</v>
      </c>
      <c r="H201" t="s">
        <v>24</v>
      </c>
      <c r="I201" t="s">
        <v>51</v>
      </c>
      <c r="J201">
        <v>5</v>
      </c>
      <c r="K201">
        <v>286</v>
      </c>
      <c r="L201">
        <v>1190.56</v>
      </c>
      <c r="M201">
        <v>22545</v>
      </c>
      <c r="N201" t="s">
        <v>26</v>
      </c>
      <c r="O201" t="s">
        <v>62</v>
      </c>
      <c r="P201" t="s">
        <v>28</v>
      </c>
      <c r="Q201">
        <v>31</v>
      </c>
      <c r="R201">
        <v>10.77</v>
      </c>
    </row>
    <row r="202" spans="1:18" x14ac:dyDescent="0.3">
      <c r="A202" t="s">
        <v>465</v>
      </c>
      <c r="B202" t="s">
        <v>466</v>
      </c>
      <c r="C202" t="s">
        <v>116</v>
      </c>
      <c r="D202" t="s">
        <v>21</v>
      </c>
      <c r="E202" s="4">
        <v>41089</v>
      </c>
      <c r="F202" t="s">
        <v>48</v>
      </c>
      <c r="G202" t="s">
        <v>83</v>
      </c>
      <c r="H202" t="s">
        <v>55</v>
      </c>
      <c r="I202" t="s">
        <v>92</v>
      </c>
      <c r="J202">
        <v>0</v>
      </c>
      <c r="K202">
        <v>1112</v>
      </c>
      <c r="L202">
        <v>1491.27</v>
      </c>
      <c r="M202">
        <v>13942</v>
      </c>
      <c r="N202" t="s">
        <v>26</v>
      </c>
      <c r="O202" t="s">
        <v>56</v>
      </c>
      <c r="P202" t="s">
        <v>52</v>
      </c>
      <c r="Q202">
        <v>24</v>
      </c>
      <c r="R202">
        <v>26.48</v>
      </c>
    </row>
    <row r="203" spans="1:18" x14ac:dyDescent="0.3">
      <c r="A203" t="s">
        <v>467</v>
      </c>
      <c r="B203" t="s">
        <v>468</v>
      </c>
      <c r="C203" t="s">
        <v>97</v>
      </c>
      <c r="D203" t="s">
        <v>21</v>
      </c>
      <c r="E203" s="4">
        <v>42790</v>
      </c>
      <c r="F203" t="s">
        <v>22</v>
      </c>
      <c r="G203" t="s">
        <v>23</v>
      </c>
      <c r="H203" t="s">
        <v>24</v>
      </c>
      <c r="I203" t="s">
        <v>35</v>
      </c>
      <c r="J203">
        <v>5</v>
      </c>
      <c r="K203">
        <v>131</v>
      </c>
      <c r="L203">
        <v>2241.7399999999998</v>
      </c>
      <c r="M203">
        <v>36081</v>
      </c>
      <c r="N203" t="s">
        <v>36</v>
      </c>
      <c r="O203" t="s">
        <v>62</v>
      </c>
      <c r="P203" t="s">
        <v>45</v>
      </c>
      <c r="Q203">
        <v>8</v>
      </c>
      <c r="R203">
        <v>148.13999999999999</v>
      </c>
    </row>
    <row r="204" spans="1:18" x14ac:dyDescent="0.3">
      <c r="A204" t="s">
        <v>469</v>
      </c>
      <c r="B204" t="s">
        <v>470</v>
      </c>
      <c r="C204" t="s">
        <v>20</v>
      </c>
      <c r="D204" t="s">
        <v>21</v>
      </c>
      <c r="E204" s="4">
        <v>42693</v>
      </c>
      <c r="F204" t="s">
        <v>43</v>
      </c>
      <c r="G204" t="s">
        <v>44</v>
      </c>
      <c r="H204" t="s">
        <v>34</v>
      </c>
      <c r="I204" t="s">
        <v>34</v>
      </c>
      <c r="J204">
        <v>5</v>
      </c>
      <c r="K204">
        <v>400</v>
      </c>
      <c r="L204">
        <v>3810.74</v>
      </c>
      <c r="M204">
        <v>11393</v>
      </c>
      <c r="N204" t="s">
        <v>26</v>
      </c>
      <c r="O204" t="s">
        <v>37</v>
      </c>
      <c r="P204" t="s">
        <v>51</v>
      </c>
      <c r="Q204">
        <v>20</v>
      </c>
      <c r="R204">
        <v>13.19</v>
      </c>
    </row>
    <row r="205" spans="1:18" x14ac:dyDescent="0.3">
      <c r="A205" t="s">
        <v>471</v>
      </c>
      <c r="B205" t="s">
        <v>472</v>
      </c>
      <c r="C205" t="s">
        <v>97</v>
      </c>
      <c r="D205" t="s">
        <v>32</v>
      </c>
      <c r="E205" s="4">
        <v>42155</v>
      </c>
      <c r="F205" t="s">
        <v>22</v>
      </c>
      <c r="G205" t="s">
        <v>102</v>
      </c>
      <c r="H205" t="s">
        <v>24</v>
      </c>
      <c r="I205" t="s">
        <v>34</v>
      </c>
      <c r="J205">
        <v>5</v>
      </c>
      <c r="K205">
        <v>232</v>
      </c>
      <c r="L205">
        <v>2572.2600000000002</v>
      </c>
      <c r="M205">
        <v>21550</v>
      </c>
      <c r="N205" t="s">
        <v>61</v>
      </c>
      <c r="O205" t="s">
        <v>56</v>
      </c>
      <c r="P205" t="s">
        <v>51</v>
      </c>
      <c r="Q205">
        <v>29</v>
      </c>
      <c r="R205">
        <v>171.21</v>
      </c>
    </row>
    <row r="206" spans="1:18" x14ac:dyDescent="0.3">
      <c r="A206" t="s">
        <v>473</v>
      </c>
      <c r="B206" t="s">
        <v>474</v>
      </c>
      <c r="C206" t="s">
        <v>116</v>
      </c>
      <c r="D206" t="s">
        <v>42</v>
      </c>
      <c r="E206" s="4">
        <v>41688</v>
      </c>
      <c r="F206" t="s">
        <v>60</v>
      </c>
      <c r="G206" t="s">
        <v>83</v>
      </c>
      <c r="H206" t="s">
        <v>55</v>
      </c>
      <c r="I206" t="s">
        <v>34</v>
      </c>
      <c r="J206">
        <v>1</v>
      </c>
      <c r="K206">
        <v>384</v>
      </c>
      <c r="L206">
        <v>4840.8900000000003</v>
      </c>
      <c r="M206">
        <v>37723</v>
      </c>
      <c r="N206" t="s">
        <v>26</v>
      </c>
      <c r="O206" t="s">
        <v>37</v>
      </c>
      <c r="P206" t="s">
        <v>45</v>
      </c>
      <c r="Q206">
        <v>41</v>
      </c>
      <c r="R206">
        <v>10.72</v>
      </c>
    </row>
    <row r="207" spans="1:18" x14ac:dyDescent="0.3">
      <c r="A207" t="s">
        <v>475</v>
      </c>
      <c r="B207" t="s">
        <v>476</v>
      </c>
      <c r="C207" t="s">
        <v>116</v>
      </c>
      <c r="D207" t="s">
        <v>21</v>
      </c>
      <c r="E207" s="4">
        <v>46074</v>
      </c>
      <c r="F207" t="s">
        <v>65</v>
      </c>
      <c r="G207" t="s">
        <v>49</v>
      </c>
      <c r="H207" t="s">
        <v>50</v>
      </c>
      <c r="I207" t="s">
        <v>76</v>
      </c>
      <c r="J207">
        <v>2</v>
      </c>
      <c r="K207">
        <v>138</v>
      </c>
      <c r="L207">
        <v>814.85</v>
      </c>
      <c r="M207">
        <v>11033</v>
      </c>
      <c r="N207" t="s">
        <v>26</v>
      </c>
      <c r="O207" t="s">
        <v>62</v>
      </c>
      <c r="P207" t="s">
        <v>25</v>
      </c>
      <c r="Q207">
        <v>44</v>
      </c>
      <c r="R207">
        <v>6.81</v>
      </c>
    </row>
    <row r="208" spans="1:18" x14ac:dyDescent="0.3">
      <c r="A208" t="s">
        <v>477</v>
      </c>
      <c r="B208" t="s">
        <v>478</v>
      </c>
      <c r="C208" t="s">
        <v>97</v>
      </c>
      <c r="D208" t="s">
        <v>109</v>
      </c>
      <c r="E208" s="4">
        <v>41831</v>
      </c>
      <c r="F208" t="s">
        <v>48</v>
      </c>
      <c r="G208" t="s">
        <v>102</v>
      </c>
      <c r="H208" t="s">
        <v>70</v>
      </c>
      <c r="I208" t="s">
        <v>34</v>
      </c>
      <c r="J208">
        <v>6</v>
      </c>
      <c r="K208">
        <v>595</v>
      </c>
      <c r="L208">
        <v>4004.03</v>
      </c>
      <c r="M208">
        <v>34710</v>
      </c>
      <c r="N208" t="s">
        <v>61</v>
      </c>
      <c r="O208" t="s">
        <v>56</v>
      </c>
      <c r="P208" t="s">
        <v>52</v>
      </c>
      <c r="Q208">
        <v>41</v>
      </c>
      <c r="R208">
        <v>107.49</v>
      </c>
    </row>
    <row r="209" spans="1:18" x14ac:dyDescent="0.3">
      <c r="A209" t="s">
        <v>479</v>
      </c>
      <c r="B209" t="s">
        <v>480</v>
      </c>
      <c r="C209" t="s">
        <v>79</v>
      </c>
      <c r="D209" t="s">
        <v>59</v>
      </c>
      <c r="E209" s="4">
        <v>44018</v>
      </c>
      <c r="F209" t="s">
        <v>69</v>
      </c>
      <c r="G209" t="s">
        <v>49</v>
      </c>
      <c r="H209" t="s">
        <v>70</v>
      </c>
      <c r="I209" t="s">
        <v>34</v>
      </c>
      <c r="J209">
        <v>8</v>
      </c>
      <c r="K209">
        <v>554</v>
      </c>
      <c r="L209">
        <v>2232.33</v>
      </c>
      <c r="M209">
        <v>30377</v>
      </c>
      <c r="N209" t="s">
        <v>61</v>
      </c>
      <c r="O209" t="s">
        <v>62</v>
      </c>
      <c r="P209" t="s">
        <v>25</v>
      </c>
      <c r="Q209">
        <v>22</v>
      </c>
      <c r="R209">
        <v>24.68</v>
      </c>
    </row>
    <row r="210" spans="1:18" x14ac:dyDescent="0.3">
      <c r="A210" t="s">
        <v>481</v>
      </c>
      <c r="B210" t="s">
        <v>482</v>
      </c>
      <c r="C210" t="s">
        <v>116</v>
      </c>
      <c r="D210" t="s">
        <v>59</v>
      </c>
      <c r="E210" s="4">
        <v>45612</v>
      </c>
      <c r="F210" t="s">
        <v>48</v>
      </c>
      <c r="G210" t="s">
        <v>23</v>
      </c>
      <c r="H210" t="s">
        <v>24</v>
      </c>
      <c r="I210" t="s">
        <v>25</v>
      </c>
      <c r="J210">
        <v>5</v>
      </c>
      <c r="K210">
        <v>746</v>
      </c>
      <c r="L210">
        <v>3109.11</v>
      </c>
      <c r="M210">
        <v>48394</v>
      </c>
      <c r="N210" t="s">
        <v>61</v>
      </c>
      <c r="O210" t="s">
        <v>62</v>
      </c>
      <c r="P210" t="s">
        <v>38</v>
      </c>
      <c r="Q210">
        <v>14</v>
      </c>
      <c r="R210">
        <v>7.49</v>
      </c>
    </row>
    <row r="211" spans="1:18" x14ac:dyDescent="0.3">
      <c r="A211" t="s">
        <v>483</v>
      </c>
      <c r="B211" t="s">
        <v>484</v>
      </c>
      <c r="C211" t="s">
        <v>116</v>
      </c>
      <c r="D211" t="s">
        <v>32</v>
      </c>
      <c r="E211" s="4">
        <v>42890</v>
      </c>
      <c r="F211" t="s">
        <v>60</v>
      </c>
      <c r="G211" t="s">
        <v>49</v>
      </c>
      <c r="H211" t="s">
        <v>24</v>
      </c>
      <c r="I211" t="s">
        <v>35</v>
      </c>
      <c r="J211">
        <v>2</v>
      </c>
      <c r="K211">
        <v>525</v>
      </c>
      <c r="L211">
        <v>3011.15</v>
      </c>
      <c r="M211">
        <v>30836</v>
      </c>
      <c r="N211" t="s">
        <v>36</v>
      </c>
      <c r="O211" t="s">
        <v>56</v>
      </c>
      <c r="P211" t="s">
        <v>51</v>
      </c>
      <c r="Q211">
        <v>36</v>
      </c>
      <c r="R211">
        <v>188.3</v>
      </c>
    </row>
    <row r="212" spans="1:18" x14ac:dyDescent="0.3">
      <c r="A212" t="s">
        <v>485</v>
      </c>
      <c r="B212" t="s">
        <v>486</v>
      </c>
      <c r="C212" t="s">
        <v>41</v>
      </c>
      <c r="D212" t="s">
        <v>21</v>
      </c>
      <c r="E212" s="4">
        <v>43690</v>
      </c>
      <c r="F212" t="s">
        <v>43</v>
      </c>
      <c r="G212" t="s">
        <v>102</v>
      </c>
      <c r="H212" t="s">
        <v>75</v>
      </c>
      <c r="I212" t="s">
        <v>92</v>
      </c>
      <c r="J212">
        <v>7</v>
      </c>
      <c r="K212">
        <v>1004</v>
      </c>
      <c r="L212">
        <v>1226.6500000000001</v>
      </c>
      <c r="M212">
        <v>27644</v>
      </c>
      <c r="N212" t="s">
        <v>36</v>
      </c>
      <c r="O212" t="s">
        <v>62</v>
      </c>
      <c r="P212" t="s">
        <v>45</v>
      </c>
      <c r="Q212">
        <v>34</v>
      </c>
      <c r="R212">
        <v>240.81</v>
      </c>
    </row>
    <row r="213" spans="1:18" x14ac:dyDescent="0.3">
      <c r="A213" t="s">
        <v>487</v>
      </c>
      <c r="B213" t="s">
        <v>488</v>
      </c>
      <c r="C213" t="s">
        <v>41</v>
      </c>
      <c r="D213" t="s">
        <v>42</v>
      </c>
      <c r="E213" s="4">
        <v>42592</v>
      </c>
      <c r="F213" t="s">
        <v>48</v>
      </c>
      <c r="G213" t="s">
        <v>49</v>
      </c>
      <c r="H213" t="s">
        <v>34</v>
      </c>
      <c r="I213" t="s">
        <v>76</v>
      </c>
      <c r="J213">
        <v>4</v>
      </c>
      <c r="K213">
        <v>889</v>
      </c>
      <c r="L213">
        <v>4966.24</v>
      </c>
      <c r="M213">
        <v>46216</v>
      </c>
      <c r="N213" t="s">
        <v>26</v>
      </c>
      <c r="O213" t="s">
        <v>37</v>
      </c>
      <c r="P213" t="s">
        <v>25</v>
      </c>
      <c r="Q213">
        <v>12</v>
      </c>
      <c r="R213">
        <v>82.05</v>
      </c>
    </row>
    <row r="214" spans="1:18" x14ac:dyDescent="0.3">
      <c r="A214" t="s">
        <v>489</v>
      </c>
      <c r="B214" t="s">
        <v>490</v>
      </c>
      <c r="C214" t="s">
        <v>31</v>
      </c>
      <c r="D214" t="s">
        <v>42</v>
      </c>
      <c r="E214" s="4">
        <v>40715</v>
      </c>
      <c r="F214" t="s">
        <v>48</v>
      </c>
      <c r="G214" t="s">
        <v>83</v>
      </c>
      <c r="H214" t="s">
        <v>24</v>
      </c>
      <c r="I214" t="s">
        <v>35</v>
      </c>
      <c r="J214">
        <v>3</v>
      </c>
      <c r="K214">
        <v>411</v>
      </c>
      <c r="L214">
        <v>1428.77</v>
      </c>
      <c r="M214">
        <v>46333</v>
      </c>
      <c r="N214" t="s">
        <v>26</v>
      </c>
      <c r="O214" t="s">
        <v>56</v>
      </c>
      <c r="P214" t="s">
        <v>28</v>
      </c>
      <c r="Q214">
        <v>15</v>
      </c>
      <c r="R214">
        <v>114.07</v>
      </c>
    </row>
    <row r="215" spans="1:18" x14ac:dyDescent="0.3">
      <c r="A215" t="s">
        <v>491</v>
      </c>
      <c r="B215" t="s">
        <v>492</v>
      </c>
      <c r="C215" t="s">
        <v>68</v>
      </c>
      <c r="D215" t="s">
        <v>59</v>
      </c>
      <c r="E215" s="4">
        <v>45907</v>
      </c>
      <c r="F215" t="s">
        <v>48</v>
      </c>
      <c r="G215" t="s">
        <v>23</v>
      </c>
      <c r="H215" t="s">
        <v>55</v>
      </c>
      <c r="I215" t="s">
        <v>25</v>
      </c>
      <c r="J215">
        <v>4</v>
      </c>
      <c r="K215">
        <v>84</v>
      </c>
      <c r="L215">
        <v>4634</v>
      </c>
      <c r="M215">
        <v>49239</v>
      </c>
      <c r="N215" t="s">
        <v>61</v>
      </c>
      <c r="O215" t="s">
        <v>37</v>
      </c>
      <c r="P215" t="s">
        <v>25</v>
      </c>
      <c r="Q215">
        <v>46</v>
      </c>
      <c r="R215">
        <v>60.49</v>
      </c>
    </row>
    <row r="216" spans="1:18" x14ac:dyDescent="0.3">
      <c r="A216" t="s">
        <v>493</v>
      </c>
      <c r="B216" t="s">
        <v>494</v>
      </c>
      <c r="C216" t="s">
        <v>20</v>
      </c>
      <c r="D216" t="s">
        <v>109</v>
      </c>
      <c r="E216" s="4">
        <v>44647</v>
      </c>
      <c r="F216" t="s">
        <v>22</v>
      </c>
      <c r="G216" t="s">
        <v>102</v>
      </c>
      <c r="H216" t="s">
        <v>24</v>
      </c>
      <c r="I216" t="s">
        <v>25</v>
      </c>
      <c r="J216">
        <v>2</v>
      </c>
      <c r="K216">
        <v>681</v>
      </c>
      <c r="L216">
        <v>4506.21</v>
      </c>
      <c r="M216">
        <v>10275</v>
      </c>
      <c r="N216" t="s">
        <v>61</v>
      </c>
      <c r="O216" t="s">
        <v>27</v>
      </c>
      <c r="P216" t="s">
        <v>28</v>
      </c>
      <c r="Q216">
        <v>44</v>
      </c>
      <c r="R216">
        <v>202.61</v>
      </c>
    </row>
    <row r="217" spans="1:18" x14ac:dyDescent="0.3">
      <c r="A217" t="s">
        <v>495</v>
      </c>
      <c r="B217" t="s">
        <v>496</v>
      </c>
      <c r="C217" t="s">
        <v>20</v>
      </c>
      <c r="D217" t="s">
        <v>21</v>
      </c>
      <c r="E217" s="4">
        <v>45190</v>
      </c>
      <c r="F217" t="s">
        <v>22</v>
      </c>
      <c r="G217" t="s">
        <v>83</v>
      </c>
      <c r="H217" t="s">
        <v>75</v>
      </c>
      <c r="I217" t="s">
        <v>35</v>
      </c>
      <c r="J217">
        <v>4</v>
      </c>
      <c r="K217">
        <v>1405</v>
      </c>
      <c r="L217">
        <v>868.15</v>
      </c>
      <c r="M217">
        <v>27916</v>
      </c>
      <c r="N217" t="s">
        <v>61</v>
      </c>
      <c r="O217" t="s">
        <v>27</v>
      </c>
      <c r="P217" t="s">
        <v>28</v>
      </c>
      <c r="Q217">
        <v>42</v>
      </c>
      <c r="R217">
        <v>119.34</v>
      </c>
    </row>
    <row r="218" spans="1:18" x14ac:dyDescent="0.3">
      <c r="A218" t="s">
        <v>497</v>
      </c>
      <c r="B218" t="s">
        <v>498</v>
      </c>
      <c r="C218" t="s">
        <v>20</v>
      </c>
      <c r="D218" t="s">
        <v>32</v>
      </c>
      <c r="E218" s="4">
        <v>45872</v>
      </c>
      <c r="F218" t="s">
        <v>43</v>
      </c>
      <c r="G218" t="s">
        <v>33</v>
      </c>
      <c r="H218" t="s">
        <v>34</v>
      </c>
      <c r="I218" t="s">
        <v>51</v>
      </c>
      <c r="J218">
        <v>5</v>
      </c>
      <c r="K218">
        <v>132</v>
      </c>
      <c r="L218">
        <v>4992.51</v>
      </c>
      <c r="M218">
        <v>20126</v>
      </c>
      <c r="N218" t="s">
        <v>61</v>
      </c>
      <c r="O218" t="s">
        <v>56</v>
      </c>
      <c r="P218" t="s">
        <v>52</v>
      </c>
      <c r="Q218">
        <v>25</v>
      </c>
      <c r="R218">
        <v>110.49</v>
      </c>
    </row>
    <row r="219" spans="1:18" x14ac:dyDescent="0.3">
      <c r="A219" t="s">
        <v>499</v>
      </c>
      <c r="B219" t="s">
        <v>500</v>
      </c>
      <c r="C219" t="s">
        <v>79</v>
      </c>
      <c r="D219" t="s">
        <v>82</v>
      </c>
      <c r="E219" s="4">
        <v>42948</v>
      </c>
      <c r="F219" t="s">
        <v>69</v>
      </c>
      <c r="G219" t="s">
        <v>23</v>
      </c>
      <c r="H219" t="s">
        <v>55</v>
      </c>
      <c r="I219" t="s">
        <v>76</v>
      </c>
      <c r="J219">
        <v>3</v>
      </c>
      <c r="K219">
        <v>110</v>
      </c>
      <c r="L219">
        <v>3739.26</v>
      </c>
      <c r="M219">
        <v>12810</v>
      </c>
      <c r="N219" t="s">
        <v>36</v>
      </c>
      <c r="O219" t="s">
        <v>27</v>
      </c>
      <c r="P219" t="s">
        <v>51</v>
      </c>
      <c r="Q219">
        <v>2</v>
      </c>
      <c r="R219">
        <v>160.68</v>
      </c>
    </row>
    <row r="220" spans="1:18" x14ac:dyDescent="0.3">
      <c r="A220" t="s">
        <v>501</v>
      </c>
      <c r="B220" t="s">
        <v>502</v>
      </c>
      <c r="C220" t="s">
        <v>41</v>
      </c>
      <c r="D220" t="s">
        <v>21</v>
      </c>
      <c r="E220" s="4">
        <v>40474</v>
      </c>
      <c r="F220" t="s">
        <v>43</v>
      </c>
      <c r="G220" t="s">
        <v>102</v>
      </c>
      <c r="H220" t="s">
        <v>75</v>
      </c>
      <c r="I220" t="s">
        <v>76</v>
      </c>
      <c r="J220">
        <v>0</v>
      </c>
      <c r="K220">
        <v>1095</v>
      </c>
      <c r="L220">
        <v>2280.4499999999998</v>
      </c>
      <c r="M220">
        <v>39218</v>
      </c>
      <c r="N220" t="s">
        <v>36</v>
      </c>
      <c r="O220" t="s">
        <v>56</v>
      </c>
      <c r="P220" t="s">
        <v>51</v>
      </c>
      <c r="Q220">
        <v>41</v>
      </c>
      <c r="R220">
        <v>203.81</v>
      </c>
    </row>
    <row r="221" spans="1:18" x14ac:dyDescent="0.3">
      <c r="A221" t="s">
        <v>503</v>
      </c>
      <c r="B221" t="s">
        <v>504</v>
      </c>
      <c r="C221" t="s">
        <v>20</v>
      </c>
      <c r="D221" t="s">
        <v>59</v>
      </c>
      <c r="E221" s="4">
        <v>45219</v>
      </c>
      <c r="F221" t="s">
        <v>22</v>
      </c>
      <c r="G221" t="s">
        <v>83</v>
      </c>
      <c r="H221" t="s">
        <v>55</v>
      </c>
      <c r="I221" t="s">
        <v>76</v>
      </c>
      <c r="J221">
        <v>4</v>
      </c>
      <c r="K221">
        <v>128</v>
      </c>
      <c r="L221">
        <v>1198.31</v>
      </c>
      <c r="M221">
        <v>42270</v>
      </c>
      <c r="N221" t="s">
        <v>36</v>
      </c>
      <c r="O221" t="s">
        <v>62</v>
      </c>
      <c r="P221" t="s">
        <v>52</v>
      </c>
      <c r="Q221">
        <v>2</v>
      </c>
      <c r="R221">
        <v>200.79</v>
      </c>
    </row>
    <row r="222" spans="1:18" x14ac:dyDescent="0.3">
      <c r="A222" t="s">
        <v>505</v>
      </c>
      <c r="B222" t="s">
        <v>506</v>
      </c>
      <c r="C222" t="s">
        <v>116</v>
      </c>
      <c r="D222" t="s">
        <v>59</v>
      </c>
      <c r="E222" s="4">
        <v>44076</v>
      </c>
      <c r="F222" t="s">
        <v>65</v>
      </c>
      <c r="G222" t="s">
        <v>102</v>
      </c>
      <c r="H222" t="s">
        <v>75</v>
      </c>
      <c r="I222" t="s">
        <v>35</v>
      </c>
      <c r="J222">
        <v>1</v>
      </c>
      <c r="K222">
        <v>827</v>
      </c>
      <c r="L222">
        <v>3736.88</v>
      </c>
      <c r="M222">
        <v>5700</v>
      </c>
      <c r="N222" t="s">
        <v>26</v>
      </c>
      <c r="O222" t="s">
        <v>27</v>
      </c>
      <c r="P222" t="s">
        <v>25</v>
      </c>
      <c r="Q222">
        <v>39</v>
      </c>
      <c r="R222">
        <v>138.28</v>
      </c>
    </row>
    <row r="223" spans="1:18" x14ac:dyDescent="0.3">
      <c r="A223" t="s">
        <v>507</v>
      </c>
      <c r="B223" t="s">
        <v>508</v>
      </c>
      <c r="C223" t="s">
        <v>97</v>
      </c>
      <c r="D223" t="s">
        <v>21</v>
      </c>
      <c r="E223" s="4">
        <v>40921</v>
      </c>
      <c r="F223" t="s">
        <v>69</v>
      </c>
      <c r="G223" t="s">
        <v>102</v>
      </c>
      <c r="H223" t="s">
        <v>70</v>
      </c>
      <c r="I223" t="s">
        <v>25</v>
      </c>
      <c r="J223">
        <v>1</v>
      </c>
      <c r="K223">
        <v>805</v>
      </c>
      <c r="L223">
        <v>863.32</v>
      </c>
      <c r="M223">
        <v>24682</v>
      </c>
      <c r="N223" t="s">
        <v>61</v>
      </c>
      <c r="O223" t="s">
        <v>37</v>
      </c>
      <c r="P223" t="s">
        <v>52</v>
      </c>
      <c r="Q223">
        <v>50</v>
      </c>
      <c r="R223">
        <v>183.08</v>
      </c>
    </row>
    <row r="224" spans="1:18" x14ac:dyDescent="0.3">
      <c r="A224" t="s">
        <v>509</v>
      </c>
      <c r="B224" t="s">
        <v>510</v>
      </c>
      <c r="C224" t="s">
        <v>97</v>
      </c>
      <c r="D224" t="s">
        <v>109</v>
      </c>
      <c r="E224" s="4">
        <v>43309</v>
      </c>
      <c r="F224" t="s">
        <v>48</v>
      </c>
      <c r="G224" t="s">
        <v>44</v>
      </c>
      <c r="H224" t="s">
        <v>75</v>
      </c>
      <c r="I224" t="s">
        <v>35</v>
      </c>
      <c r="J224">
        <v>0</v>
      </c>
      <c r="K224">
        <v>1226</v>
      </c>
      <c r="L224">
        <v>811.03</v>
      </c>
      <c r="M224">
        <v>36055</v>
      </c>
      <c r="N224" t="s">
        <v>36</v>
      </c>
      <c r="O224" t="s">
        <v>27</v>
      </c>
      <c r="P224" t="s">
        <v>28</v>
      </c>
      <c r="Q224">
        <v>25</v>
      </c>
      <c r="R224">
        <v>147.80000000000001</v>
      </c>
    </row>
    <row r="225" spans="1:18" x14ac:dyDescent="0.3">
      <c r="A225" t="s">
        <v>511</v>
      </c>
      <c r="B225" t="s">
        <v>512</v>
      </c>
      <c r="C225" t="s">
        <v>68</v>
      </c>
      <c r="D225" t="s">
        <v>42</v>
      </c>
      <c r="E225" s="4">
        <v>41866</v>
      </c>
      <c r="F225" t="s">
        <v>69</v>
      </c>
      <c r="G225" t="s">
        <v>102</v>
      </c>
      <c r="H225" t="s">
        <v>24</v>
      </c>
      <c r="I225" t="s">
        <v>92</v>
      </c>
      <c r="J225">
        <v>8</v>
      </c>
      <c r="K225">
        <v>463</v>
      </c>
      <c r="L225">
        <v>3784.61</v>
      </c>
      <c r="M225">
        <v>48787</v>
      </c>
      <c r="N225" t="s">
        <v>36</v>
      </c>
      <c r="O225" t="s">
        <v>37</v>
      </c>
      <c r="P225" t="s">
        <v>52</v>
      </c>
      <c r="Q225">
        <v>1</v>
      </c>
      <c r="R225">
        <v>89.02</v>
      </c>
    </row>
    <row r="226" spans="1:18" x14ac:dyDescent="0.3">
      <c r="A226" t="s">
        <v>513</v>
      </c>
      <c r="B226" t="s">
        <v>514</v>
      </c>
      <c r="C226" t="s">
        <v>116</v>
      </c>
      <c r="D226" t="s">
        <v>59</v>
      </c>
      <c r="E226" s="4">
        <v>44433</v>
      </c>
      <c r="F226" t="s">
        <v>69</v>
      </c>
      <c r="G226" t="s">
        <v>33</v>
      </c>
      <c r="H226" t="s">
        <v>50</v>
      </c>
      <c r="I226" t="s">
        <v>34</v>
      </c>
      <c r="J226">
        <v>4</v>
      </c>
      <c r="K226">
        <v>548</v>
      </c>
      <c r="L226">
        <v>4861.01</v>
      </c>
      <c r="M226">
        <v>809</v>
      </c>
      <c r="N226" t="s">
        <v>26</v>
      </c>
      <c r="O226" t="s">
        <v>62</v>
      </c>
      <c r="P226" t="s">
        <v>25</v>
      </c>
      <c r="Q226">
        <v>11</v>
      </c>
      <c r="R226">
        <v>89.27</v>
      </c>
    </row>
    <row r="227" spans="1:18" x14ac:dyDescent="0.3">
      <c r="A227" t="s">
        <v>515</v>
      </c>
      <c r="B227" t="s">
        <v>516</v>
      </c>
      <c r="C227" t="s">
        <v>41</v>
      </c>
      <c r="D227" t="s">
        <v>21</v>
      </c>
      <c r="E227" s="4">
        <v>43273</v>
      </c>
      <c r="F227" t="s">
        <v>22</v>
      </c>
      <c r="G227" t="s">
        <v>33</v>
      </c>
      <c r="H227" t="s">
        <v>50</v>
      </c>
      <c r="I227" t="s">
        <v>76</v>
      </c>
      <c r="J227">
        <v>8</v>
      </c>
      <c r="K227">
        <v>442</v>
      </c>
      <c r="L227">
        <v>3474.85</v>
      </c>
      <c r="M227">
        <v>17524</v>
      </c>
      <c r="N227" t="s">
        <v>26</v>
      </c>
      <c r="O227" t="s">
        <v>27</v>
      </c>
      <c r="P227" t="s">
        <v>45</v>
      </c>
      <c r="Q227">
        <v>31</v>
      </c>
      <c r="R227">
        <v>143.16999999999999</v>
      </c>
    </row>
    <row r="228" spans="1:18" x14ac:dyDescent="0.3">
      <c r="A228" t="s">
        <v>517</v>
      </c>
      <c r="B228" t="s">
        <v>518</v>
      </c>
      <c r="C228" t="s">
        <v>79</v>
      </c>
      <c r="D228" t="s">
        <v>109</v>
      </c>
      <c r="E228" s="4">
        <v>46034</v>
      </c>
      <c r="F228" t="s">
        <v>60</v>
      </c>
      <c r="G228" t="s">
        <v>83</v>
      </c>
      <c r="H228" t="s">
        <v>70</v>
      </c>
      <c r="I228" t="s">
        <v>34</v>
      </c>
      <c r="J228">
        <v>5</v>
      </c>
      <c r="K228">
        <v>1448</v>
      </c>
      <c r="L228">
        <v>50.05</v>
      </c>
      <c r="M228">
        <v>24227</v>
      </c>
      <c r="N228" t="s">
        <v>26</v>
      </c>
      <c r="O228" t="s">
        <v>56</v>
      </c>
      <c r="P228" t="s">
        <v>38</v>
      </c>
      <c r="Q228">
        <v>38</v>
      </c>
      <c r="R228">
        <v>216.62</v>
      </c>
    </row>
    <row r="229" spans="1:18" x14ac:dyDescent="0.3">
      <c r="A229" t="s">
        <v>519</v>
      </c>
      <c r="B229" t="s">
        <v>520</v>
      </c>
      <c r="C229" t="s">
        <v>116</v>
      </c>
      <c r="D229" t="s">
        <v>42</v>
      </c>
      <c r="E229" s="4">
        <v>44838</v>
      </c>
      <c r="F229" t="s">
        <v>69</v>
      </c>
      <c r="G229" t="s">
        <v>49</v>
      </c>
      <c r="H229" t="s">
        <v>75</v>
      </c>
      <c r="I229" t="s">
        <v>76</v>
      </c>
      <c r="J229">
        <v>1</v>
      </c>
      <c r="K229">
        <v>1295</v>
      </c>
      <c r="L229">
        <v>4941.16</v>
      </c>
      <c r="M229">
        <v>8083</v>
      </c>
      <c r="N229" t="s">
        <v>36</v>
      </c>
      <c r="O229" t="s">
        <v>62</v>
      </c>
      <c r="P229" t="s">
        <v>38</v>
      </c>
      <c r="Q229">
        <v>14</v>
      </c>
      <c r="R229">
        <v>129.35</v>
      </c>
    </row>
    <row r="230" spans="1:18" x14ac:dyDescent="0.3">
      <c r="A230" t="s">
        <v>521</v>
      </c>
      <c r="B230" t="s">
        <v>522</v>
      </c>
      <c r="C230" t="s">
        <v>31</v>
      </c>
      <c r="D230" t="s">
        <v>109</v>
      </c>
      <c r="E230" s="4">
        <v>43350</v>
      </c>
      <c r="F230" t="s">
        <v>22</v>
      </c>
      <c r="G230" t="s">
        <v>23</v>
      </c>
      <c r="H230" t="s">
        <v>70</v>
      </c>
      <c r="I230" t="s">
        <v>25</v>
      </c>
      <c r="J230">
        <v>5</v>
      </c>
      <c r="K230">
        <v>1342</v>
      </c>
      <c r="L230">
        <v>929.1</v>
      </c>
      <c r="M230">
        <v>41273</v>
      </c>
      <c r="N230" t="s">
        <v>36</v>
      </c>
      <c r="O230" t="s">
        <v>37</v>
      </c>
      <c r="P230" t="s">
        <v>25</v>
      </c>
      <c r="Q230">
        <v>27</v>
      </c>
      <c r="R230">
        <v>192.59</v>
      </c>
    </row>
    <row r="231" spans="1:18" x14ac:dyDescent="0.3">
      <c r="A231" t="s">
        <v>523</v>
      </c>
      <c r="B231" t="s">
        <v>524</v>
      </c>
      <c r="C231" t="s">
        <v>31</v>
      </c>
      <c r="D231" t="s">
        <v>42</v>
      </c>
      <c r="E231" s="4">
        <v>41338</v>
      </c>
      <c r="F231" t="s">
        <v>48</v>
      </c>
      <c r="G231" t="s">
        <v>23</v>
      </c>
      <c r="H231" t="s">
        <v>75</v>
      </c>
      <c r="I231" t="s">
        <v>25</v>
      </c>
      <c r="J231">
        <v>7</v>
      </c>
      <c r="K231">
        <v>1415</v>
      </c>
      <c r="L231">
        <v>4758.26</v>
      </c>
      <c r="M231">
        <v>14770</v>
      </c>
      <c r="N231" t="s">
        <v>61</v>
      </c>
      <c r="O231" t="s">
        <v>27</v>
      </c>
      <c r="P231" t="s">
        <v>38</v>
      </c>
      <c r="Q231">
        <v>17</v>
      </c>
      <c r="R231">
        <v>114.08</v>
      </c>
    </row>
    <row r="232" spans="1:18" x14ac:dyDescent="0.3">
      <c r="A232" t="s">
        <v>525</v>
      </c>
      <c r="B232" t="s">
        <v>526</v>
      </c>
      <c r="C232" t="s">
        <v>41</v>
      </c>
      <c r="D232" t="s">
        <v>82</v>
      </c>
      <c r="E232" s="4">
        <v>41977</v>
      </c>
      <c r="F232" t="s">
        <v>22</v>
      </c>
      <c r="G232" t="s">
        <v>23</v>
      </c>
      <c r="H232" t="s">
        <v>24</v>
      </c>
      <c r="I232" t="s">
        <v>76</v>
      </c>
      <c r="J232">
        <v>2</v>
      </c>
      <c r="K232">
        <v>605</v>
      </c>
      <c r="L232">
        <v>1769.11</v>
      </c>
      <c r="M232">
        <v>26133</v>
      </c>
      <c r="N232" t="s">
        <v>26</v>
      </c>
      <c r="O232" t="s">
        <v>56</v>
      </c>
      <c r="P232" t="s">
        <v>51</v>
      </c>
      <c r="Q232">
        <v>12</v>
      </c>
      <c r="R232">
        <v>141.46</v>
      </c>
    </row>
    <row r="233" spans="1:18" x14ac:dyDescent="0.3">
      <c r="A233" t="s">
        <v>527</v>
      </c>
      <c r="B233" t="s">
        <v>528</v>
      </c>
      <c r="C233" t="s">
        <v>41</v>
      </c>
      <c r="D233" t="s">
        <v>109</v>
      </c>
      <c r="E233" s="4">
        <v>44729</v>
      </c>
      <c r="F233" t="s">
        <v>22</v>
      </c>
      <c r="G233" t="s">
        <v>23</v>
      </c>
      <c r="H233" t="s">
        <v>50</v>
      </c>
      <c r="I233" t="s">
        <v>51</v>
      </c>
      <c r="J233">
        <v>3</v>
      </c>
      <c r="K233">
        <v>932</v>
      </c>
      <c r="L233">
        <v>719.78</v>
      </c>
      <c r="M233">
        <v>16371</v>
      </c>
      <c r="N233" t="s">
        <v>61</v>
      </c>
      <c r="O233" t="s">
        <v>37</v>
      </c>
      <c r="P233" t="s">
        <v>52</v>
      </c>
      <c r="Q233">
        <v>14</v>
      </c>
      <c r="R233">
        <v>160.24</v>
      </c>
    </row>
    <row r="234" spans="1:18" x14ac:dyDescent="0.3">
      <c r="A234" t="s">
        <v>529</v>
      </c>
      <c r="B234" t="s">
        <v>530</v>
      </c>
      <c r="C234" t="s">
        <v>79</v>
      </c>
      <c r="D234" t="s">
        <v>109</v>
      </c>
      <c r="E234" s="4">
        <v>42820</v>
      </c>
      <c r="F234" t="s">
        <v>65</v>
      </c>
      <c r="G234" t="s">
        <v>44</v>
      </c>
      <c r="H234" t="s">
        <v>70</v>
      </c>
      <c r="I234" t="s">
        <v>76</v>
      </c>
      <c r="J234">
        <v>5</v>
      </c>
      <c r="K234">
        <v>613</v>
      </c>
      <c r="L234">
        <v>1727.26</v>
      </c>
      <c r="M234">
        <v>43645</v>
      </c>
      <c r="N234" t="s">
        <v>26</v>
      </c>
      <c r="O234" t="s">
        <v>56</v>
      </c>
      <c r="P234" t="s">
        <v>51</v>
      </c>
      <c r="Q234">
        <v>27</v>
      </c>
      <c r="R234">
        <v>29.75</v>
      </c>
    </row>
    <row r="235" spans="1:18" x14ac:dyDescent="0.3">
      <c r="A235" t="s">
        <v>531</v>
      </c>
      <c r="B235" t="s">
        <v>532</v>
      </c>
      <c r="C235" t="s">
        <v>31</v>
      </c>
      <c r="D235" t="s">
        <v>59</v>
      </c>
      <c r="E235" s="4">
        <v>42644</v>
      </c>
      <c r="F235" t="s">
        <v>43</v>
      </c>
      <c r="G235" t="s">
        <v>102</v>
      </c>
      <c r="H235" t="s">
        <v>34</v>
      </c>
      <c r="I235" t="s">
        <v>51</v>
      </c>
      <c r="J235">
        <v>8</v>
      </c>
      <c r="K235">
        <v>498</v>
      </c>
      <c r="L235">
        <v>711.96</v>
      </c>
      <c r="M235">
        <v>5602</v>
      </c>
      <c r="N235" t="s">
        <v>26</v>
      </c>
      <c r="O235" t="s">
        <v>56</v>
      </c>
      <c r="P235" t="s">
        <v>45</v>
      </c>
      <c r="Q235">
        <v>25</v>
      </c>
      <c r="R235">
        <v>118.1</v>
      </c>
    </row>
    <row r="236" spans="1:18" x14ac:dyDescent="0.3">
      <c r="A236" t="s">
        <v>533</v>
      </c>
      <c r="B236" t="s">
        <v>534</v>
      </c>
      <c r="C236" t="s">
        <v>68</v>
      </c>
      <c r="D236" t="s">
        <v>82</v>
      </c>
      <c r="E236" s="4">
        <v>42233</v>
      </c>
      <c r="F236" t="s">
        <v>69</v>
      </c>
      <c r="G236" t="s">
        <v>49</v>
      </c>
      <c r="H236" t="s">
        <v>55</v>
      </c>
      <c r="I236" t="s">
        <v>51</v>
      </c>
      <c r="J236">
        <v>0</v>
      </c>
      <c r="K236">
        <v>80</v>
      </c>
      <c r="L236">
        <v>3266.68</v>
      </c>
      <c r="M236">
        <v>37638</v>
      </c>
      <c r="N236" t="s">
        <v>26</v>
      </c>
      <c r="O236" t="s">
        <v>27</v>
      </c>
      <c r="P236" t="s">
        <v>28</v>
      </c>
      <c r="Q236">
        <v>5</v>
      </c>
      <c r="R236">
        <v>32.49</v>
      </c>
    </row>
    <row r="237" spans="1:18" x14ac:dyDescent="0.3">
      <c r="A237" t="s">
        <v>535</v>
      </c>
      <c r="B237" t="s">
        <v>536</v>
      </c>
      <c r="C237" t="s">
        <v>68</v>
      </c>
      <c r="D237" t="s">
        <v>42</v>
      </c>
      <c r="E237" s="4">
        <v>42089</v>
      </c>
      <c r="F237" t="s">
        <v>69</v>
      </c>
      <c r="G237" t="s">
        <v>102</v>
      </c>
      <c r="H237" t="s">
        <v>24</v>
      </c>
      <c r="I237" t="s">
        <v>51</v>
      </c>
      <c r="J237">
        <v>4</v>
      </c>
      <c r="K237">
        <v>736</v>
      </c>
      <c r="L237">
        <v>4610.04</v>
      </c>
      <c r="M237">
        <v>49822</v>
      </c>
      <c r="N237" t="s">
        <v>61</v>
      </c>
      <c r="O237" t="s">
        <v>56</v>
      </c>
      <c r="P237" t="s">
        <v>38</v>
      </c>
      <c r="Q237">
        <v>11</v>
      </c>
      <c r="R237">
        <v>227.81</v>
      </c>
    </row>
    <row r="238" spans="1:18" x14ac:dyDescent="0.3">
      <c r="A238" t="s">
        <v>537</v>
      </c>
      <c r="B238" t="s">
        <v>538</v>
      </c>
      <c r="C238" t="s">
        <v>20</v>
      </c>
      <c r="D238" t="s">
        <v>32</v>
      </c>
      <c r="E238" s="4">
        <v>41752</v>
      </c>
      <c r="F238" t="s">
        <v>60</v>
      </c>
      <c r="G238" t="s">
        <v>44</v>
      </c>
      <c r="H238" t="s">
        <v>24</v>
      </c>
      <c r="I238" t="s">
        <v>76</v>
      </c>
      <c r="J238">
        <v>3</v>
      </c>
      <c r="K238">
        <v>937</v>
      </c>
      <c r="L238">
        <v>3674.92</v>
      </c>
      <c r="M238">
        <v>10015</v>
      </c>
      <c r="N238" t="s">
        <v>61</v>
      </c>
      <c r="O238" t="s">
        <v>37</v>
      </c>
      <c r="P238" t="s">
        <v>52</v>
      </c>
      <c r="Q238">
        <v>31</v>
      </c>
      <c r="R238">
        <v>85.75</v>
      </c>
    </row>
    <row r="239" spans="1:18" x14ac:dyDescent="0.3">
      <c r="A239" t="s">
        <v>539</v>
      </c>
      <c r="B239" t="s">
        <v>540</v>
      </c>
      <c r="C239" t="s">
        <v>116</v>
      </c>
      <c r="D239" t="s">
        <v>32</v>
      </c>
      <c r="E239" s="4">
        <v>42642</v>
      </c>
      <c r="F239" t="s">
        <v>22</v>
      </c>
      <c r="G239" t="s">
        <v>102</v>
      </c>
      <c r="H239" t="s">
        <v>34</v>
      </c>
      <c r="I239" t="s">
        <v>76</v>
      </c>
      <c r="J239">
        <v>0</v>
      </c>
      <c r="K239">
        <v>183</v>
      </c>
      <c r="L239">
        <v>1671.28</v>
      </c>
      <c r="M239">
        <v>6355</v>
      </c>
      <c r="N239" t="s">
        <v>36</v>
      </c>
      <c r="O239" t="s">
        <v>56</v>
      </c>
      <c r="P239" t="s">
        <v>45</v>
      </c>
      <c r="Q239">
        <v>37</v>
      </c>
      <c r="R239">
        <v>39.21</v>
      </c>
    </row>
    <row r="240" spans="1:18" x14ac:dyDescent="0.3">
      <c r="A240" t="s">
        <v>541</v>
      </c>
      <c r="B240" t="s">
        <v>542</v>
      </c>
      <c r="C240" t="s">
        <v>97</v>
      </c>
      <c r="D240" t="s">
        <v>59</v>
      </c>
      <c r="E240" s="4">
        <v>42631</v>
      </c>
      <c r="F240" t="s">
        <v>65</v>
      </c>
      <c r="G240" t="s">
        <v>83</v>
      </c>
      <c r="H240" t="s">
        <v>34</v>
      </c>
      <c r="I240" t="s">
        <v>25</v>
      </c>
      <c r="J240">
        <v>4</v>
      </c>
      <c r="K240">
        <v>1418</v>
      </c>
      <c r="L240">
        <v>4832.93</v>
      </c>
      <c r="M240">
        <v>22912</v>
      </c>
      <c r="N240" t="s">
        <v>36</v>
      </c>
      <c r="O240" t="s">
        <v>56</v>
      </c>
      <c r="P240" t="s">
        <v>25</v>
      </c>
      <c r="Q240">
        <v>37</v>
      </c>
      <c r="R240">
        <v>29.8</v>
      </c>
    </row>
    <row r="241" spans="1:18" x14ac:dyDescent="0.3">
      <c r="A241" t="s">
        <v>543</v>
      </c>
      <c r="B241" t="s">
        <v>544</v>
      </c>
      <c r="C241" t="s">
        <v>79</v>
      </c>
      <c r="D241" t="s">
        <v>109</v>
      </c>
      <c r="E241" s="4">
        <v>41091</v>
      </c>
      <c r="F241" t="s">
        <v>60</v>
      </c>
      <c r="G241" t="s">
        <v>44</v>
      </c>
      <c r="H241" t="s">
        <v>34</v>
      </c>
      <c r="I241" t="s">
        <v>51</v>
      </c>
      <c r="J241">
        <v>7</v>
      </c>
      <c r="K241">
        <v>69</v>
      </c>
      <c r="L241">
        <v>3455.58</v>
      </c>
      <c r="M241">
        <v>8470</v>
      </c>
      <c r="N241" t="s">
        <v>36</v>
      </c>
      <c r="O241" t="s">
        <v>62</v>
      </c>
      <c r="P241" t="s">
        <v>51</v>
      </c>
      <c r="Q241">
        <v>6</v>
      </c>
      <c r="R241">
        <v>75.989999999999995</v>
      </c>
    </row>
    <row r="242" spans="1:18" x14ac:dyDescent="0.3">
      <c r="A242" t="s">
        <v>545</v>
      </c>
      <c r="B242" t="s">
        <v>546</v>
      </c>
      <c r="C242" t="s">
        <v>20</v>
      </c>
      <c r="D242" t="s">
        <v>109</v>
      </c>
      <c r="E242" s="4">
        <v>45643</v>
      </c>
      <c r="F242" t="s">
        <v>43</v>
      </c>
      <c r="G242" t="s">
        <v>83</v>
      </c>
      <c r="H242" t="s">
        <v>70</v>
      </c>
      <c r="I242" t="s">
        <v>76</v>
      </c>
      <c r="J242">
        <v>7</v>
      </c>
      <c r="K242">
        <v>65</v>
      </c>
      <c r="L242">
        <v>2680.19</v>
      </c>
      <c r="M242">
        <v>2115</v>
      </c>
      <c r="N242" t="s">
        <v>61</v>
      </c>
      <c r="O242" t="s">
        <v>56</v>
      </c>
      <c r="P242" t="s">
        <v>38</v>
      </c>
      <c r="Q242">
        <v>25</v>
      </c>
      <c r="R242">
        <v>232.66</v>
      </c>
    </row>
    <row r="243" spans="1:18" x14ac:dyDescent="0.3">
      <c r="A243" t="s">
        <v>547</v>
      </c>
      <c r="B243" t="s">
        <v>548</v>
      </c>
      <c r="C243" t="s">
        <v>41</v>
      </c>
      <c r="D243" t="s">
        <v>42</v>
      </c>
      <c r="E243" s="4">
        <v>41823</v>
      </c>
      <c r="F243" t="s">
        <v>48</v>
      </c>
      <c r="G243" t="s">
        <v>102</v>
      </c>
      <c r="H243" t="s">
        <v>50</v>
      </c>
      <c r="I243" t="s">
        <v>76</v>
      </c>
      <c r="J243">
        <v>2</v>
      </c>
      <c r="K243">
        <v>876</v>
      </c>
      <c r="L243">
        <v>1870.42</v>
      </c>
      <c r="M243">
        <v>9591</v>
      </c>
      <c r="N243" t="s">
        <v>26</v>
      </c>
      <c r="O243" t="s">
        <v>27</v>
      </c>
      <c r="P243" t="s">
        <v>38</v>
      </c>
      <c r="Q243">
        <v>4</v>
      </c>
      <c r="R243">
        <v>124.82</v>
      </c>
    </row>
    <row r="244" spans="1:18" x14ac:dyDescent="0.3">
      <c r="A244" t="s">
        <v>549</v>
      </c>
      <c r="B244" t="s">
        <v>550</v>
      </c>
      <c r="C244" t="s">
        <v>79</v>
      </c>
      <c r="D244" t="s">
        <v>109</v>
      </c>
      <c r="E244" s="4">
        <v>42872</v>
      </c>
      <c r="F244" t="s">
        <v>65</v>
      </c>
      <c r="G244" t="s">
        <v>33</v>
      </c>
      <c r="H244" t="s">
        <v>24</v>
      </c>
      <c r="I244" t="s">
        <v>51</v>
      </c>
      <c r="J244">
        <v>1</v>
      </c>
      <c r="K244">
        <v>1376</v>
      </c>
      <c r="L244">
        <v>3034.81</v>
      </c>
      <c r="M244">
        <v>44627</v>
      </c>
      <c r="N244" t="s">
        <v>36</v>
      </c>
      <c r="O244" t="s">
        <v>37</v>
      </c>
      <c r="P244" t="s">
        <v>51</v>
      </c>
      <c r="Q244">
        <v>42</v>
      </c>
      <c r="R244">
        <v>213.25</v>
      </c>
    </row>
    <row r="245" spans="1:18" x14ac:dyDescent="0.3">
      <c r="A245" t="s">
        <v>551</v>
      </c>
      <c r="B245" t="s">
        <v>552</v>
      </c>
      <c r="C245" t="s">
        <v>68</v>
      </c>
      <c r="D245" t="s">
        <v>82</v>
      </c>
      <c r="E245" s="4">
        <v>44104</v>
      </c>
      <c r="F245" t="s">
        <v>69</v>
      </c>
      <c r="G245" t="s">
        <v>83</v>
      </c>
      <c r="H245" t="s">
        <v>50</v>
      </c>
      <c r="I245" t="s">
        <v>25</v>
      </c>
      <c r="J245">
        <v>0</v>
      </c>
      <c r="K245">
        <v>121</v>
      </c>
      <c r="L245">
        <v>3870.4</v>
      </c>
      <c r="M245">
        <v>10373</v>
      </c>
      <c r="N245" t="s">
        <v>26</v>
      </c>
      <c r="O245" t="s">
        <v>56</v>
      </c>
      <c r="P245" t="s">
        <v>38</v>
      </c>
      <c r="Q245">
        <v>43</v>
      </c>
      <c r="R245">
        <v>216.16</v>
      </c>
    </row>
    <row r="246" spans="1:18" x14ac:dyDescent="0.3">
      <c r="A246" t="s">
        <v>553</v>
      </c>
      <c r="B246" t="s">
        <v>554</v>
      </c>
      <c r="C246" t="s">
        <v>31</v>
      </c>
      <c r="D246" t="s">
        <v>109</v>
      </c>
      <c r="E246" s="4">
        <v>41573</v>
      </c>
      <c r="F246" t="s">
        <v>69</v>
      </c>
      <c r="G246" t="s">
        <v>44</v>
      </c>
      <c r="H246" t="s">
        <v>55</v>
      </c>
      <c r="I246" t="s">
        <v>51</v>
      </c>
      <c r="J246">
        <v>0</v>
      </c>
      <c r="K246">
        <v>644</v>
      </c>
      <c r="L246">
        <v>1151.24</v>
      </c>
      <c r="M246">
        <v>3538</v>
      </c>
      <c r="N246" t="s">
        <v>26</v>
      </c>
      <c r="O246" t="s">
        <v>37</v>
      </c>
      <c r="P246" t="s">
        <v>28</v>
      </c>
      <c r="Q246">
        <v>26</v>
      </c>
      <c r="R246">
        <v>187.37</v>
      </c>
    </row>
    <row r="247" spans="1:18" x14ac:dyDescent="0.3">
      <c r="A247" t="s">
        <v>555</v>
      </c>
      <c r="B247" t="s">
        <v>556</v>
      </c>
      <c r="C247" t="s">
        <v>31</v>
      </c>
      <c r="D247" t="s">
        <v>21</v>
      </c>
      <c r="E247" s="4">
        <v>43537</v>
      </c>
      <c r="F247" t="s">
        <v>69</v>
      </c>
      <c r="G247" t="s">
        <v>83</v>
      </c>
      <c r="H247" t="s">
        <v>50</v>
      </c>
      <c r="I247" t="s">
        <v>51</v>
      </c>
      <c r="J247">
        <v>5</v>
      </c>
      <c r="K247">
        <v>242</v>
      </c>
      <c r="L247">
        <v>4843.2</v>
      </c>
      <c r="M247">
        <v>24995</v>
      </c>
      <c r="N247" t="s">
        <v>26</v>
      </c>
      <c r="O247" t="s">
        <v>56</v>
      </c>
      <c r="P247" t="s">
        <v>28</v>
      </c>
      <c r="Q247">
        <v>10</v>
      </c>
      <c r="R247">
        <v>176.86</v>
      </c>
    </row>
    <row r="248" spans="1:18" x14ac:dyDescent="0.3">
      <c r="A248" t="s">
        <v>557</v>
      </c>
      <c r="B248" t="s">
        <v>558</v>
      </c>
      <c r="C248" t="s">
        <v>79</v>
      </c>
      <c r="D248" t="s">
        <v>82</v>
      </c>
      <c r="E248" s="4">
        <v>43350</v>
      </c>
      <c r="F248" t="s">
        <v>65</v>
      </c>
      <c r="G248" t="s">
        <v>44</v>
      </c>
      <c r="H248" t="s">
        <v>55</v>
      </c>
      <c r="I248" t="s">
        <v>51</v>
      </c>
      <c r="J248">
        <v>6</v>
      </c>
      <c r="K248">
        <v>256</v>
      </c>
      <c r="L248">
        <v>3146.23</v>
      </c>
      <c r="M248">
        <v>43647</v>
      </c>
      <c r="N248" t="s">
        <v>36</v>
      </c>
      <c r="O248" t="s">
        <v>27</v>
      </c>
      <c r="P248" t="s">
        <v>25</v>
      </c>
      <c r="Q248">
        <v>24</v>
      </c>
      <c r="R248">
        <v>201.37</v>
      </c>
    </row>
    <row r="249" spans="1:18" x14ac:dyDescent="0.3">
      <c r="A249" t="s">
        <v>559</v>
      </c>
      <c r="B249" t="s">
        <v>560</v>
      </c>
      <c r="C249" t="s">
        <v>116</v>
      </c>
      <c r="D249" t="s">
        <v>109</v>
      </c>
      <c r="E249" s="4">
        <v>40652</v>
      </c>
      <c r="F249" t="s">
        <v>69</v>
      </c>
      <c r="G249" t="s">
        <v>102</v>
      </c>
      <c r="H249" t="s">
        <v>75</v>
      </c>
      <c r="I249" t="s">
        <v>51</v>
      </c>
      <c r="J249">
        <v>8</v>
      </c>
      <c r="K249">
        <v>985</v>
      </c>
      <c r="L249">
        <v>232.46</v>
      </c>
      <c r="M249">
        <v>46616</v>
      </c>
      <c r="N249" t="s">
        <v>61</v>
      </c>
      <c r="O249" t="s">
        <v>56</v>
      </c>
      <c r="P249" t="s">
        <v>51</v>
      </c>
      <c r="Q249">
        <v>18</v>
      </c>
      <c r="R249">
        <v>246.12</v>
      </c>
    </row>
    <row r="250" spans="1:18" x14ac:dyDescent="0.3">
      <c r="A250" t="s">
        <v>561</v>
      </c>
      <c r="B250" t="s">
        <v>562</v>
      </c>
      <c r="C250" t="s">
        <v>31</v>
      </c>
      <c r="D250" t="s">
        <v>59</v>
      </c>
      <c r="E250" s="4">
        <v>45576</v>
      </c>
      <c r="F250" t="s">
        <v>65</v>
      </c>
      <c r="G250" t="s">
        <v>49</v>
      </c>
      <c r="H250" t="s">
        <v>24</v>
      </c>
      <c r="I250" t="s">
        <v>35</v>
      </c>
      <c r="J250">
        <v>7</v>
      </c>
      <c r="K250">
        <v>732</v>
      </c>
      <c r="L250">
        <v>2832.96</v>
      </c>
      <c r="M250">
        <v>47690</v>
      </c>
      <c r="N250" t="s">
        <v>61</v>
      </c>
      <c r="O250" t="s">
        <v>56</v>
      </c>
      <c r="P250" t="s">
        <v>38</v>
      </c>
      <c r="Q250">
        <v>29</v>
      </c>
      <c r="R250">
        <v>39.61</v>
      </c>
    </row>
    <row r="251" spans="1:18" x14ac:dyDescent="0.3">
      <c r="A251" t="s">
        <v>563</v>
      </c>
      <c r="B251" t="s">
        <v>564</v>
      </c>
      <c r="C251" t="s">
        <v>31</v>
      </c>
      <c r="D251" t="s">
        <v>82</v>
      </c>
      <c r="E251" s="4">
        <v>44217</v>
      </c>
      <c r="F251" t="s">
        <v>65</v>
      </c>
      <c r="G251" t="s">
        <v>102</v>
      </c>
      <c r="H251" t="s">
        <v>34</v>
      </c>
      <c r="I251" t="s">
        <v>25</v>
      </c>
      <c r="J251">
        <v>1</v>
      </c>
      <c r="K251">
        <v>278</v>
      </c>
      <c r="L251">
        <v>1636.06</v>
      </c>
      <c r="M251">
        <v>6924</v>
      </c>
      <c r="N251" t="s">
        <v>61</v>
      </c>
      <c r="O251" t="s">
        <v>62</v>
      </c>
      <c r="P251" t="s">
        <v>51</v>
      </c>
      <c r="Q251">
        <v>19</v>
      </c>
      <c r="R251">
        <v>156.63999999999999</v>
      </c>
    </row>
    <row r="252" spans="1:18" x14ac:dyDescent="0.3">
      <c r="A252" t="s">
        <v>565</v>
      </c>
      <c r="B252" t="s">
        <v>566</v>
      </c>
      <c r="C252" t="s">
        <v>79</v>
      </c>
      <c r="D252" t="s">
        <v>42</v>
      </c>
      <c r="E252" s="4">
        <v>43361</v>
      </c>
      <c r="F252" t="s">
        <v>69</v>
      </c>
      <c r="G252" t="s">
        <v>23</v>
      </c>
      <c r="H252" t="s">
        <v>75</v>
      </c>
      <c r="I252" t="s">
        <v>92</v>
      </c>
      <c r="J252">
        <v>4</v>
      </c>
      <c r="K252">
        <v>1472</v>
      </c>
      <c r="L252">
        <v>3663.24</v>
      </c>
      <c r="M252">
        <v>39706</v>
      </c>
      <c r="N252" t="s">
        <v>61</v>
      </c>
      <c r="O252" t="s">
        <v>27</v>
      </c>
      <c r="P252" t="s">
        <v>38</v>
      </c>
      <c r="Q252">
        <v>2</v>
      </c>
      <c r="R252">
        <v>84.12</v>
      </c>
    </row>
    <row r="253" spans="1:18" x14ac:dyDescent="0.3">
      <c r="A253" t="s">
        <v>567</v>
      </c>
      <c r="B253" t="s">
        <v>568</v>
      </c>
      <c r="C253" t="s">
        <v>79</v>
      </c>
      <c r="D253" t="s">
        <v>82</v>
      </c>
      <c r="E253" s="4">
        <v>40927</v>
      </c>
      <c r="F253" t="s">
        <v>65</v>
      </c>
      <c r="G253" t="s">
        <v>23</v>
      </c>
      <c r="H253" t="s">
        <v>75</v>
      </c>
      <c r="I253" t="s">
        <v>76</v>
      </c>
      <c r="J253">
        <v>0</v>
      </c>
      <c r="K253">
        <v>340</v>
      </c>
      <c r="L253">
        <v>2976.99</v>
      </c>
      <c r="M253">
        <v>27328</v>
      </c>
      <c r="N253" t="s">
        <v>26</v>
      </c>
      <c r="O253" t="s">
        <v>62</v>
      </c>
      <c r="P253" t="s">
        <v>25</v>
      </c>
      <c r="Q253">
        <v>17</v>
      </c>
      <c r="R253">
        <v>14.55</v>
      </c>
    </row>
    <row r="254" spans="1:18" x14ac:dyDescent="0.3">
      <c r="A254" t="s">
        <v>569</v>
      </c>
      <c r="B254" t="s">
        <v>570</v>
      </c>
      <c r="C254" t="s">
        <v>97</v>
      </c>
      <c r="D254" t="s">
        <v>42</v>
      </c>
      <c r="E254" s="4">
        <v>45814</v>
      </c>
      <c r="F254" t="s">
        <v>60</v>
      </c>
      <c r="G254" t="s">
        <v>44</v>
      </c>
      <c r="H254" t="s">
        <v>24</v>
      </c>
      <c r="I254" t="s">
        <v>25</v>
      </c>
      <c r="J254">
        <v>3</v>
      </c>
      <c r="K254">
        <v>444</v>
      </c>
      <c r="L254">
        <v>364.95</v>
      </c>
      <c r="M254">
        <v>4945</v>
      </c>
      <c r="N254" t="s">
        <v>26</v>
      </c>
      <c r="O254" t="s">
        <v>27</v>
      </c>
      <c r="P254" t="s">
        <v>45</v>
      </c>
      <c r="Q254">
        <v>50</v>
      </c>
      <c r="R254">
        <v>28.4</v>
      </c>
    </row>
    <row r="255" spans="1:18" x14ac:dyDescent="0.3">
      <c r="A255" t="s">
        <v>571</v>
      </c>
      <c r="B255" t="s">
        <v>572</v>
      </c>
      <c r="C255" t="s">
        <v>41</v>
      </c>
      <c r="D255" t="s">
        <v>82</v>
      </c>
      <c r="E255" s="4">
        <v>41355</v>
      </c>
      <c r="F255" t="s">
        <v>43</v>
      </c>
      <c r="G255" t="s">
        <v>83</v>
      </c>
      <c r="H255" t="s">
        <v>70</v>
      </c>
      <c r="I255" t="s">
        <v>51</v>
      </c>
      <c r="J255">
        <v>0</v>
      </c>
      <c r="K255">
        <v>851</v>
      </c>
      <c r="L255">
        <v>975.17</v>
      </c>
      <c r="M255">
        <v>32882</v>
      </c>
      <c r="N255" t="s">
        <v>36</v>
      </c>
      <c r="O255" t="s">
        <v>62</v>
      </c>
      <c r="P255" t="s">
        <v>51</v>
      </c>
      <c r="Q255">
        <v>45</v>
      </c>
      <c r="R255">
        <v>242.52</v>
      </c>
    </row>
    <row r="256" spans="1:18" x14ac:dyDescent="0.3">
      <c r="A256" t="s">
        <v>573</v>
      </c>
      <c r="B256" t="s">
        <v>574</v>
      </c>
      <c r="C256" t="s">
        <v>116</v>
      </c>
      <c r="D256" t="s">
        <v>59</v>
      </c>
      <c r="E256" s="4">
        <v>46163</v>
      </c>
      <c r="F256" t="s">
        <v>69</v>
      </c>
      <c r="G256" t="s">
        <v>102</v>
      </c>
      <c r="H256" t="s">
        <v>50</v>
      </c>
      <c r="I256" t="s">
        <v>35</v>
      </c>
      <c r="J256">
        <v>2</v>
      </c>
      <c r="K256">
        <v>113</v>
      </c>
      <c r="L256">
        <v>2945.52</v>
      </c>
      <c r="M256">
        <v>10625</v>
      </c>
      <c r="N256" t="s">
        <v>26</v>
      </c>
      <c r="O256" t="s">
        <v>56</v>
      </c>
      <c r="P256" t="s">
        <v>38</v>
      </c>
      <c r="Q256">
        <v>42</v>
      </c>
      <c r="R256">
        <v>218.64</v>
      </c>
    </row>
    <row r="257" spans="1:18" x14ac:dyDescent="0.3">
      <c r="A257" t="s">
        <v>575</v>
      </c>
      <c r="B257" t="s">
        <v>576</v>
      </c>
      <c r="C257" t="s">
        <v>97</v>
      </c>
      <c r="D257" t="s">
        <v>59</v>
      </c>
      <c r="E257" s="4">
        <v>44044</v>
      </c>
      <c r="F257" t="s">
        <v>65</v>
      </c>
      <c r="G257" t="s">
        <v>44</v>
      </c>
      <c r="H257" t="s">
        <v>50</v>
      </c>
      <c r="I257" t="s">
        <v>76</v>
      </c>
      <c r="J257">
        <v>8</v>
      </c>
      <c r="K257">
        <v>474</v>
      </c>
      <c r="L257">
        <v>3920.13</v>
      </c>
      <c r="M257">
        <v>5419</v>
      </c>
      <c r="N257" t="s">
        <v>61</v>
      </c>
      <c r="O257" t="s">
        <v>27</v>
      </c>
      <c r="P257" t="s">
        <v>28</v>
      </c>
      <c r="Q257">
        <v>32</v>
      </c>
      <c r="R257">
        <v>232.28</v>
      </c>
    </row>
    <row r="258" spans="1:18" x14ac:dyDescent="0.3">
      <c r="A258" t="s">
        <v>577</v>
      </c>
      <c r="B258" t="s">
        <v>578</v>
      </c>
      <c r="C258" t="s">
        <v>41</v>
      </c>
      <c r="D258" t="s">
        <v>32</v>
      </c>
      <c r="E258" s="4">
        <v>40912</v>
      </c>
      <c r="F258" t="s">
        <v>22</v>
      </c>
      <c r="G258" t="s">
        <v>102</v>
      </c>
      <c r="H258" t="s">
        <v>75</v>
      </c>
      <c r="I258" t="s">
        <v>25</v>
      </c>
      <c r="J258">
        <v>3</v>
      </c>
      <c r="K258">
        <v>961</v>
      </c>
      <c r="L258">
        <v>1341.56</v>
      </c>
      <c r="M258">
        <v>23748</v>
      </c>
      <c r="N258" t="s">
        <v>36</v>
      </c>
      <c r="O258" t="s">
        <v>27</v>
      </c>
      <c r="P258" t="s">
        <v>45</v>
      </c>
      <c r="Q258">
        <v>42</v>
      </c>
      <c r="R258">
        <v>186.05</v>
      </c>
    </row>
    <row r="259" spans="1:18" x14ac:dyDescent="0.3">
      <c r="A259" t="s">
        <v>579</v>
      </c>
      <c r="B259" t="s">
        <v>580</v>
      </c>
      <c r="C259" t="s">
        <v>79</v>
      </c>
      <c r="D259" t="s">
        <v>32</v>
      </c>
      <c r="E259" s="4">
        <v>46047</v>
      </c>
      <c r="F259" t="s">
        <v>48</v>
      </c>
      <c r="G259" t="s">
        <v>23</v>
      </c>
      <c r="H259" t="s">
        <v>75</v>
      </c>
      <c r="I259" t="s">
        <v>35</v>
      </c>
      <c r="J259">
        <v>5</v>
      </c>
      <c r="K259">
        <v>247</v>
      </c>
      <c r="L259">
        <v>2596.9299999999998</v>
      </c>
      <c r="M259">
        <v>46218</v>
      </c>
      <c r="N259" t="s">
        <v>26</v>
      </c>
      <c r="O259" t="s">
        <v>62</v>
      </c>
      <c r="P259" t="s">
        <v>25</v>
      </c>
      <c r="Q259">
        <v>19</v>
      </c>
      <c r="R259">
        <v>141.77000000000001</v>
      </c>
    </row>
    <row r="260" spans="1:18" x14ac:dyDescent="0.3">
      <c r="A260" t="s">
        <v>581</v>
      </c>
      <c r="B260" t="s">
        <v>582</v>
      </c>
      <c r="C260" t="s">
        <v>20</v>
      </c>
      <c r="D260" t="s">
        <v>82</v>
      </c>
      <c r="E260" s="4">
        <v>42335</v>
      </c>
      <c r="F260" t="s">
        <v>65</v>
      </c>
      <c r="G260" t="s">
        <v>83</v>
      </c>
      <c r="H260" t="s">
        <v>70</v>
      </c>
      <c r="I260" t="s">
        <v>34</v>
      </c>
      <c r="J260">
        <v>8</v>
      </c>
      <c r="K260">
        <v>1346</v>
      </c>
      <c r="L260">
        <v>2047.07</v>
      </c>
      <c r="M260">
        <v>26009</v>
      </c>
      <c r="N260" t="s">
        <v>26</v>
      </c>
      <c r="O260" t="s">
        <v>62</v>
      </c>
      <c r="P260" t="s">
        <v>28</v>
      </c>
      <c r="Q260">
        <v>10</v>
      </c>
      <c r="R260">
        <v>169.71</v>
      </c>
    </row>
    <row r="261" spans="1:18" x14ac:dyDescent="0.3">
      <c r="A261" t="s">
        <v>583</v>
      </c>
      <c r="B261" t="s">
        <v>584</v>
      </c>
      <c r="C261" t="s">
        <v>79</v>
      </c>
      <c r="D261" t="s">
        <v>109</v>
      </c>
      <c r="E261" s="4">
        <v>40330</v>
      </c>
      <c r="F261" t="s">
        <v>22</v>
      </c>
      <c r="G261" t="s">
        <v>23</v>
      </c>
      <c r="H261" t="s">
        <v>50</v>
      </c>
      <c r="I261" t="s">
        <v>51</v>
      </c>
      <c r="J261">
        <v>4</v>
      </c>
      <c r="K261">
        <v>1031</v>
      </c>
      <c r="L261">
        <v>979.81</v>
      </c>
      <c r="M261">
        <v>19984</v>
      </c>
      <c r="N261" t="s">
        <v>26</v>
      </c>
      <c r="O261" t="s">
        <v>56</v>
      </c>
      <c r="P261" t="s">
        <v>38</v>
      </c>
      <c r="Q261">
        <v>5</v>
      </c>
      <c r="R261">
        <v>51.62</v>
      </c>
    </row>
    <row r="262" spans="1:18" x14ac:dyDescent="0.3">
      <c r="A262" t="s">
        <v>585</v>
      </c>
      <c r="B262" t="s">
        <v>586</v>
      </c>
      <c r="C262" t="s">
        <v>79</v>
      </c>
      <c r="D262" t="s">
        <v>109</v>
      </c>
      <c r="E262" s="4">
        <v>41726</v>
      </c>
      <c r="F262" t="s">
        <v>43</v>
      </c>
      <c r="G262" t="s">
        <v>44</v>
      </c>
      <c r="H262" t="s">
        <v>55</v>
      </c>
      <c r="I262" t="s">
        <v>35</v>
      </c>
      <c r="J262">
        <v>2</v>
      </c>
      <c r="K262">
        <v>812</v>
      </c>
      <c r="L262">
        <v>1113.93</v>
      </c>
      <c r="M262">
        <v>22719</v>
      </c>
      <c r="N262" t="s">
        <v>36</v>
      </c>
      <c r="O262" t="s">
        <v>27</v>
      </c>
      <c r="P262" t="s">
        <v>28</v>
      </c>
      <c r="Q262">
        <v>39</v>
      </c>
      <c r="R262">
        <v>137.63</v>
      </c>
    </row>
    <row r="263" spans="1:18" x14ac:dyDescent="0.3">
      <c r="A263" t="s">
        <v>587</v>
      </c>
      <c r="B263" t="s">
        <v>588</v>
      </c>
      <c r="C263" t="s">
        <v>20</v>
      </c>
      <c r="D263" t="s">
        <v>59</v>
      </c>
      <c r="E263" s="4">
        <v>42443</v>
      </c>
      <c r="F263" t="s">
        <v>60</v>
      </c>
      <c r="G263" t="s">
        <v>49</v>
      </c>
      <c r="H263" t="s">
        <v>34</v>
      </c>
      <c r="I263" t="s">
        <v>35</v>
      </c>
      <c r="J263">
        <v>6</v>
      </c>
      <c r="K263">
        <v>634</v>
      </c>
      <c r="L263">
        <v>1641.85</v>
      </c>
      <c r="M263">
        <v>32843</v>
      </c>
      <c r="N263" t="s">
        <v>26</v>
      </c>
      <c r="O263" t="s">
        <v>62</v>
      </c>
      <c r="P263" t="s">
        <v>28</v>
      </c>
      <c r="Q263">
        <v>39</v>
      </c>
      <c r="R263">
        <v>96.97</v>
      </c>
    </row>
    <row r="264" spans="1:18" x14ac:dyDescent="0.3">
      <c r="A264" t="s">
        <v>589</v>
      </c>
      <c r="B264" t="s">
        <v>590</v>
      </c>
      <c r="C264" t="s">
        <v>20</v>
      </c>
      <c r="D264" t="s">
        <v>42</v>
      </c>
      <c r="E264" s="4">
        <v>40196</v>
      </c>
      <c r="F264" t="s">
        <v>22</v>
      </c>
      <c r="G264" t="s">
        <v>44</v>
      </c>
      <c r="H264" t="s">
        <v>24</v>
      </c>
      <c r="I264" t="s">
        <v>92</v>
      </c>
      <c r="J264">
        <v>4</v>
      </c>
      <c r="K264">
        <v>176</v>
      </c>
      <c r="L264">
        <v>150.75</v>
      </c>
      <c r="M264">
        <v>32392</v>
      </c>
      <c r="N264" t="s">
        <v>26</v>
      </c>
      <c r="O264" t="s">
        <v>56</v>
      </c>
      <c r="P264" t="s">
        <v>45</v>
      </c>
      <c r="Q264">
        <v>19</v>
      </c>
      <c r="R264">
        <v>63.62</v>
      </c>
    </row>
    <row r="265" spans="1:18" x14ac:dyDescent="0.3">
      <c r="A265" t="s">
        <v>591</v>
      </c>
      <c r="B265" t="s">
        <v>592</v>
      </c>
      <c r="C265" t="s">
        <v>79</v>
      </c>
      <c r="D265" t="s">
        <v>42</v>
      </c>
      <c r="E265" s="4">
        <v>44695</v>
      </c>
      <c r="F265" t="s">
        <v>69</v>
      </c>
      <c r="G265" t="s">
        <v>49</v>
      </c>
      <c r="H265" t="s">
        <v>70</v>
      </c>
      <c r="I265" t="s">
        <v>34</v>
      </c>
      <c r="J265">
        <v>0</v>
      </c>
      <c r="K265">
        <v>754</v>
      </c>
      <c r="L265">
        <v>4636.3500000000004</v>
      </c>
      <c r="M265">
        <v>33800</v>
      </c>
      <c r="N265" t="s">
        <v>36</v>
      </c>
      <c r="O265" t="s">
        <v>27</v>
      </c>
      <c r="P265" t="s">
        <v>38</v>
      </c>
      <c r="Q265">
        <v>7</v>
      </c>
      <c r="R265">
        <v>113.95</v>
      </c>
    </row>
    <row r="266" spans="1:18" x14ac:dyDescent="0.3">
      <c r="A266" t="s">
        <v>593</v>
      </c>
      <c r="B266" t="s">
        <v>594</v>
      </c>
      <c r="C266" t="s">
        <v>31</v>
      </c>
      <c r="D266" t="s">
        <v>109</v>
      </c>
      <c r="E266" s="4">
        <v>41512</v>
      </c>
      <c r="F266" t="s">
        <v>60</v>
      </c>
      <c r="G266" t="s">
        <v>44</v>
      </c>
      <c r="H266" t="s">
        <v>75</v>
      </c>
      <c r="I266" t="s">
        <v>76</v>
      </c>
      <c r="J266">
        <v>1</v>
      </c>
      <c r="K266">
        <v>1485</v>
      </c>
      <c r="L266">
        <v>2202.89</v>
      </c>
      <c r="M266">
        <v>38104</v>
      </c>
      <c r="N266" t="s">
        <v>36</v>
      </c>
      <c r="O266" t="s">
        <v>37</v>
      </c>
      <c r="P266" t="s">
        <v>51</v>
      </c>
      <c r="Q266">
        <v>43</v>
      </c>
      <c r="R266">
        <v>202.48</v>
      </c>
    </row>
    <row r="267" spans="1:18" x14ac:dyDescent="0.3">
      <c r="A267" t="s">
        <v>595</v>
      </c>
      <c r="B267" t="s">
        <v>596</v>
      </c>
      <c r="C267" t="s">
        <v>20</v>
      </c>
      <c r="D267" t="s">
        <v>82</v>
      </c>
      <c r="E267" s="4">
        <v>43718</v>
      </c>
      <c r="F267" t="s">
        <v>60</v>
      </c>
      <c r="G267" t="s">
        <v>83</v>
      </c>
      <c r="H267" t="s">
        <v>24</v>
      </c>
      <c r="I267" t="s">
        <v>35</v>
      </c>
      <c r="J267">
        <v>7</v>
      </c>
      <c r="K267">
        <v>159</v>
      </c>
      <c r="L267">
        <v>1631.18</v>
      </c>
      <c r="M267">
        <v>19762</v>
      </c>
      <c r="N267" t="s">
        <v>26</v>
      </c>
      <c r="O267" t="s">
        <v>37</v>
      </c>
      <c r="P267" t="s">
        <v>52</v>
      </c>
      <c r="Q267">
        <v>31</v>
      </c>
      <c r="R267">
        <v>218.86</v>
      </c>
    </row>
    <row r="268" spans="1:18" x14ac:dyDescent="0.3">
      <c r="A268" t="s">
        <v>597</v>
      </c>
      <c r="B268" t="s">
        <v>598</v>
      </c>
      <c r="C268" t="s">
        <v>41</v>
      </c>
      <c r="D268" t="s">
        <v>21</v>
      </c>
      <c r="E268" s="4">
        <v>42934</v>
      </c>
      <c r="F268" t="s">
        <v>22</v>
      </c>
      <c r="G268" t="s">
        <v>83</v>
      </c>
      <c r="H268" t="s">
        <v>24</v>
      </c>
      <c r="I268" t="s">
        <v>25</v>
      </c>
      <c r="J268">
        <v>2</v>
      </c>
      <c r="K268">
        <v>226</v>
      </c>
      <c r="L268">
        <v>4714.74</v>
      </c>
      <c r="M268">
        <v>28601</v>
      </c>
      <c r="N268" t="s">
        <v>61</v>
      </c>
      <c r="O268" t="s">
        <v>56</v>
      </c>
      <c r="P268" t="s">
        <v>51</v>
      </c>
      <c r="Q268">
        <v>24</v>
      </c>
      <c r="R268">
        <v>101.94</v>
      </c>
    </row>
    <row r="269" spans="1:18" x14ac:dyDescent="0.3">
      <c r="A269" t="s">
        <v>599</v>
      </c>
      <c r="B269" t="s">
        <v>600</v>
      </c>
      <c r="C269" t="s">
        <v>97</v>
      </c>
      <c r="D269" t="s">
        <v>42</v>
      </c>
      <c r="E269" s="4">
        <v>42872</v>
      </c>
      <c r="F269" t="s">
        <v>22</v>
      </c>
      <c r="G269" t="s">
        <v>33</v>
      </c>
      <c r="H269" t="s">
        <v>70</v>
      </c>
      <c r="I269" t="s">
        <v>92</v>
      </c>
      <c r="J269">
        <v>1</v>
      </c>
      <c r="K269">
        <v>389</v>
      </c>
      <c r="L269">
        <v>4038.14</v>
      </c>
      <c r="M269">
        <v>34499</v>
      </c>
      <c r="N269" t="s">
        <v>36</v>
      </c>
      <c r="O269" t="s">
        <v>56</v>
      </c>
      <c r="P269" t="s">
        <v>38</v>
      </c>
      <c r="Q269">
        <v>9</v>
      </c>
      <c r="R269">
        <v>87.1</v>
      </c>
    </row>
    <row r="270" spans="1:18" x14ac:dyDescent="0.3">
      <c r="A270" t="s">
        <v>601</v>
      </c>
      <c r="B270" t="s">
        <v>602</v>
      </c>
      <c r="C270" t="s">
        <v>97</v>
      </c>
      <c r="D270" t="s">
        <v>32</v>
      </c>
      <c r="E270" s="4">
        <v>43646</v>
      </c>
      <c r="F270" t="s">
        <v>22</v>
      </c>
      <c r="G270" t="s">
        <v>102</v>
      </c>
      <c r="H270" t="s">
        <v>55</v>
      </c>
      <c r="I270" t="s">
        <v>35</v>
      </c>
      <c r="J270">
        <v>0</v>
      </c>
      <c r="K270">
        <v>106</v>
      </c>
      <c r="L270">
        <v>2708.6</v>
      </c>
      <c r="M270">
        <v>18083</v>
      </c>
      <c r="N270" t="s">
        <v>26</v>
      </c>
      <c r="O270" t="s">
        <v>56</v>
      </c>
      <c r="P270" t="s">
        <v>51</v>
      </c>
      <c r="Q270">
        <v>8</v>
      </c>
      <c r="R270">
        <v>171.45</v>
      </c>
    </row>
    <row r="271" spans="1:18" x14ac:dyDescent="0.3">
      <c r="A271" t="s">
        <v>603</v>
      </c>
      <c r="B271" t="s">
        <v>604</v>
      </c>
      <c r="C271" t="s">
        <v>20</v>
      </c>
      <c r="D271" t="s">
        <v>32</v>
      </c>
      <c r="E271" s="4">
        <v>46032</v>
      </c>
      <c r="F271" t="s">
        <v>22</v>
      </c>
      <c r="G271" t="s">
        <v>44</v>
      </c>
      <c r="H271" t="s">
        <v>55</v>
      </c>
      <c r="I271" t="s">
        <v>35</v>
      </c>
      <c r="J271">
        <v>1</v>
      </c>
      <c r="K271">
        <v>1062</v>
      </c>
      <c r="L271">
        <v>1550.87</v>
      </c>
      <c r="M271">
        <v>133</v>
      </c>
      <c r="N271" t="s">
        <v>26</v>
      </c>
      <c r="O271" t="s">
        <v>37</v>
      </c>
      <c r="P271" t="s">
        <v>28</v>
      </c>
      <c r="Q271">
        <v>39</v>
      </c>
      <c r="R271">
        <v>110.23</v>
      </c>
    </row>
    <row r="272" spans="1:18" x14ac:dyDescent="0.3">
      <c r="A272" t="s">
        <v>605</v>
      </c>
      <c r="B272" t="s">
        <v>606</v>
      </c>
      <c r="C272" t="s">
        <v>41</v>
      </c>
      <c r="D272" t="s">
        <v>32</v>
      </c>
      <c r="E272" s="4">
        <v>42810</v>
      </c>
      <c r="F272" t="s">
        <v>48</v>
      </c>
      <c r="G272" t="s">
        <v>102</v>
      </c>
      <c r="H272" t="s">
        <v>50</v>
      </c>
      <c r="I272" t="s">
        <v>25</v>
      </c>
      <c r="J272">
        <v>1</v>
      </c>
      <c r="K272">
        <v>1301</v>
      </c>
      <c r="L272">
        <v>1915.97</v>
      </c>
      <c r="M272">
        <v>22964</v>
      </c>
      <c r="N272" t="s">
        <v>61</v>
      </c>
      <c r="O272" t="s">
        <v>27</v>
      </c>
      <c r="P272" t="s">
        <v>52</v>
      </c>
      <c r="Q272">
        <v>26</v>
      </c>
      <c r="R272">
        <v>121.52</v>
      </c>
    </row>
    <row r="273" spans="1:18" x14ac:dyDescent="0.3">
      <c r="A273" t="s">
        <v>607</v>
      </c>
      <c r="B273" t="s">
        <v>608</v>
      </c>
      <c r="C273" t="s">
        <v>41</v>
      </c>
      <c r="D273" t="s">
        <v>21</v>
      </c>
      <c r="E273" s="4">
        <v>40602</v>
      </c>
      <c r="F273" t="s">
        <v>60</v>
      </c>
      <c r="G273" t="s">
        <v>83</v>
      </c>
      <c r="H273" t="s">
        <v>24</v>
      </c>
      <c r="I273" t="s">
        <v>76</v>
      </c>
      <c r="J273">
        <v>8</v>
      </c>
      <c r="K273">
        <v>654</v>
      </c>
      <c r="L273">
        <v>2980.89</v>
      </c>
      <c r="M273">
        <v>46887</v>
      </c>
      <c r="N273" t="s">
        <v>26</v>
      </c>
      <c r="O273" t="s">
        <v>27</v>
      </c>
      <c r="P273" t="s">
        <v>52</v>
      </c>
      <c r="Q273">
        <v>35</v>
      </c>
      <c r="R273">
        <v>128.94999999999999</v>
      </c>
    </row>
    <row r="274" spans="1:18" x14ac:dyDescent="0.3">
      <c r="A274" t="s">
        <v>609</v>
      </c>
      <c r="B274" t="s">
        <v>610</v>
      </c>
      <c r="C274" t="s">
        <v>68</v>
      </c>
      <c r="D274" t="s">
        <v>59</v>
      </c>
      <c r="E274" s="4">
        <v>44339</v>
      </c>
      <c r="F274" t="s">
        <v>69</v>
      </c>
      <c r="G274" t="s">
        <v>83</v>
      </c>
      <c r="H274" t="s">
        <v>70</v>
      </c>
      <c r="I274" t="s">
        <v>35</v>
      </c>
      <c r="J274">
        <v>8</v>
      </c>
      <c r="K274">
        <v>391</v>
      </c>
      <c r="L274">
        <v>2509.9899999999998</v>
      </c>
      <c r="M274">
        <v>18457</v>
      </c>
      <c r="N274" t="s">
        <v>61</v>
      </c>
      <c r="O274" t="s">
        <v>62</v>
      </c>
      <c r="P274" t="s">
        <v>52</v>
      </c>
      <c r="Q274">
        <v>19</v>
      </c>
      <c r="R274">
        <v>213.51</v>
      </c>
    </row>
    <row r="275" spans="1:18" x14ac:dyDescent="0.3">
      <c r="A275" t="s">
        <v>611</v>
      </c>
      <c r="B275" t="s">
        <v>612</v>
      </c>
      <c r="C275" t="s">
        <v>68</v>
      </c>
      <c r="D275" t="s">
        <v>59</v>
      </c>
      <c r="E275" s="4">
        <v>41288</v>
      </c>
      <c r="F275" t="s">
        <v>60</v>
      </c>
      <c r="G275" t="s">
        <v>49</v>
      </c>
      <c r="H275" t="s">
        <v>55</v>
      </c>
      <c r="I275" t="s">
        <v>92</v>
      </c>
      <c r="J275">
        <v>5</v>
      </c>
      <c r="K275">
        <v>1431</v>
      </c>
      <c r="L275">
        <v>4254.41</v>
      </c>
      <c r="M275">
        <v>1143</v>
      </c>
      <c r="N275" t="s">
        <v>26</v>
      </c>
      <c r="O275" t="s">
        <v>37</v>
      </c>
      <c r="P275" t="s">
        <v>38</v>
      </c>
      <c r="Q275">
        <v>37</v>
      </c>
      <c r="R275">
        <v>137.46</v>
      </c>
    </row>
    <row r="276" spans="1:18" x14ac:dyDescent="0.3">
      <c r="A276" t="s">
        <v>613</v>
      </c>
      <c r="B276" t="s">
        <v>614</v>
      </c>
      <c r="C276" t="s">
        <v>20</v>
      </c>
      <c r="D276" t="s">
        <v>42</v>
      </c>
      <c r="E276" s="4">
        <v>43384</v>
      </c>
      <c r="F276" t="s">
        <v>69</v>
      </c>
      <c r="G276" t="s">
        <v>33</v>
      </c>
      <c r="H276" t="s">
        <v>34</v>
      </c>
      <c r="I276" t="s">
        <v>76</v>
      </c>
      <c r="J276">
        <v>5</v>
      </c>
      <c r="K276">
        <v>1113</v>
      </c>
      <c r="L276">
        <v>3502.05</v>
      </c>
      <c r="M276">
        <v>41898</v>
      </c>
      <c r="N276" t="s">
        <v>26</v>
      </c>
      <c r="O276" t="s">
        <v>27</v>
      </c>
      <c r="P276" t="s">
        <v>52</v>
      </c>
      <c r="Q276">
        <v>11</v>
      </c>
      <c r="R276">
        <v>111.96</v>
      </c>
    </row>
    <row r="277" spans="1:18" x14ac:dyDescent="0.3">
      <c r="A277" t="s">
        <v>615</v>
      </c>
      <c r="B277" t="s">
        <v>616</v>
      </c>
      <c r="C277" t="s">
        <v>20</v>
      </c>
      <c r="D277" t="s">
        <v>82</v>
      </c>
      <c r="E277" s="4">
        <v>44541</v>
      </c>
      <c r="F277" t="s">
        <v>22</v>
      </c>
      <c r="G277" t="s">
        <v>33</v>
      </c>
      <c r="H277" t="s">
        <v>75</v>
      </c>
      <c r="I277" t="s">
        <v>34</v>
      </c>
      <c r="J277">
        <v>3</v>
      </c>
      <c r="K277">
        <v>697</v>
      </c>
      <c r="L277">
        <v>865.8</v>
      </c>
      <c r="M277">
        <v>11409</v>
      </c>
      <c r="N277" t="s">
        <v>36</v>
      </c>
      <c r="O277" t="s">
        <v>62</v>
      </c>
      <c r="P277" t="s">
        <v>51</v>
      </c>
      <c r="Q277">
        <v>28</v>
      </c>
      <c r="R277">
        <v>179.68</v>
      </c>
    </row>
    <row r="278" spans="1:18" x14ac:dyDescent="0.3">
      <c r="A278" t="s">
        <v>617</v>
      </c>
      <c r="B278" t="s">
        <v>618</v>
      </c>
      <c r="C278" t="s">
        <v>20</v>
      </c>
      <c r="D278" t="s">
        <v>59</v>
      </c>
      <c r="E278" s="4">
        <v>43144</v>
      </c>
      <c r="F278" t="s">
        <v>65</v>
      </c>
      <c r="G278" t="s">
        <v>83</v>
      </c>
      <c r="H278" t="s">
        <v>75</v>
      </c>
      <c r="I278" t="s">
        <v>34</v>
      </c>
      <c r="J278">
        <v>8</v>
      </c>
      <c r="K278">
        <v>997</v>
      </c>
      <c r="L278">
        <v>4784.53</v>
      </c>
      <c r="M278">
        <v>18176</v>
      </c>
      <c r="N278" t="s">
        <v>26</v>
      </c>
      <c r="O278" t="s">
        <v>56</v>
      </c>
      <c r="P278" t="s">
        <v>28</v>
      </c>
      <c r="Q278">
        <v>15</v>
      </c>
      <c r="R278">
        <v>232.06</v>
      </c>
    </row>
    <row r="279" spans="1:18" x14ac:dyDescent="0.3">
      <c r="A279" t="s">
        <v>619</v>
      </c>
      <c r="B279" t="s">
        <v>620</v>
      </c>
      <c r="C279" t="s">
        <v>41</v>
      </c>
      <c r="D279" t="s">
        <v>109</v>
      </c>
      <c r="E279" s="4">
        <v>43837</v>
      </c>
      <c r="F279" t="s">
        <v>43</v>
      </c>
      <c r="G279" t="s">
        <v>44</v>
      </c>
      <c r="H279" t="s">
        <v>34</v>
      </c>
      <c r="I279" t="s">
        <v>35</v>
      </c>
      <c r="J279">
        <v>1</v>
      </c>
      <c r="K279">
        <v>1396</v>
      </c>
      <c r="L279">
        <v>1872.9</v>
      </c>
      <c r="M279">
        <v>37948</v>
      </c>
      <c r="N279" t="s">
        <v>26</v>
      </c>
      <c r="O279" t="s">
        <v>37</v>
      </c>
      <c r="P279" t="s">
        <v>38</v>
      </c>
      <c r="Q279">
        <v>4</v>
      </c>
      <c r="R279">
        <v>210.31</v>
      </c>
    </row>
    <row r="280" spans="1:18" x14ac:dyDescent="0.3">
      <c r="A280" t="s">
        <v>621</v>
      </c>
      <c r="B280" t="s">
        <v>622</v>
      </c>
      <c r="C280" t="s">
        <v>79</v>
      </c>
      <c r="D280" t="s">
        <v>21</v>
      </c>
      <c r="E280" s="4">
        <v>44664</v>
      </c>
      <c r="F280" t="s">
        <v>65</v>
      </c>
      <c r="G280" t="s">
        <v>23</v>
      </c>
      <c r="H280" t="s">
        <v>50</v>
      </c>
      <c r="I280" t="s">
        <v>34</v>
      </c>
      <c r="J280">
        <v>4</v>
      </c>
      <c r="K280">
        <v>1117</v>
      </c>
      <c r="L280">
        <v>475.04</v>
      </c>
      <c r="M280">
        <v>42235</v>
      </c>
      <c r="N280" t="s">
        <v>36</v>
      </c>
      <c r="O280" t="s">
        <v>37</v>
      </c>
      <c r="P280" t="s">
        <v>51</v>
      </c>
      <c r="Q280">
        <v>32</v>
      </c>
      <c r="R280">
        <v>203.6</v>
      </c>
    </row>
    <row r="281" spans="1:18" x14ac:dyDescent="0.3">
      <c r="A281" t="s">
        <v>623</v>
      </c>
      <c r="B281" t="s">
        <v>624</v>
      </c>
      <c r="C281" t="s">
        <v>79</v>
      </c>
      <c r="D281" t="s">
        <v>82</v>
      </c>
      <c r="E281" s="4">
        <v>45237</v>
      </c>
      <c r="F281" t="s">
        <v>60</v>
      </c>
      <c r="G281" t="s">
        <v>49</v>
      </c>
      <c r="H281" t="s">
        <v>34</v>
      </c>
      <c r="I281" t="s">
        <v>34</v>
      </c>
      <c r="J281">
        <v>6</v>
      </c>
      <c r="K281">
        <v>1049</v>
      </c>
      <c r="L281">
        <v>4307.4399999999996</v>
      </c>
      <c r="M281">
        <v>44783</v>
      </c>
      <c r="N281" t="s">
        <v>36</v>
      </c>
      <c r="O281" t="s">
        <v>27</v>
      </c>
      <c r="P281" t="s">
        <v>38</v>
      </c>
      <c r="Q281">
        <v>44</v>
      </c>
      <c r="R281">
        <v>32.24</v>
      </c>
    </row>
    <row r="282" spans="1:18" x14ac:dyDescent="0.3">
      <c r="A282" t="s">
        <v>625</v>
      </c>
      <c r="B282" t="s">
        <v>626</v>
      </c>
      <c r="C282" t="s">
        <v>20</v>
      </c>
      <c r="D282" t="s">
        <v>42</v>
      </c>
      <c r="E282" s="4">
        <v>40408</v>
      </c>
      <c r="F282" t="s">
        <v>48</v>
      </c>
      <c r="G282" t="s">
        <v>83</v>
      </c>
      <c r="H282" t="s">
        <v>55</v>
      </c>
      <c r="I282" t="s">
        <v>34</v>
      </c>
      <c r="J282">
        <v>2</v>
      </c>
      <c r="K282">
        <v>774</v>
      </c>
      <c r="L282">
        <v>1444.2</v>
      </c>
      <c r="M282">
        <v>48288</v>
      </c>
      <c r="N282" t="s">
        <v>61</v>
      </c>
      <c r="O282" t="s">
        <v>37</v>
      </c>
      <c r="P282" t="s">
        <v>38</v>
      </c>
      <c r="Q282">
        <v>27</v>
      </c>
      <c r="R282">
        <v>11.86</v>
      </c>
    </row>
    <row r="283" spans="1:18" x14ac:dyDescent="0.3">
      <c r="A283" t="s">
        <v>627</v>
      </c>
      <c r="B283" t="s">
        <v>628</v>
      </c>
      <c r="C283" t="s">
        <v>31</v>
      </c>
      <c r="D283" t="s">
        <v>109</v>
      </c>
      <c r="E283" s="4">
        <v>45045</v>
      </c>
      <c r="F283" t="s">
        <v>22</v>
      </c>
      <c r="G283" t="s">
        <v>23</v>
      </c>
      <c r="H283" t="s">
        <v>70</v>
      </c>
      <c r="I283" t="s">
        <v>92</v>
      </c>
      <c r="J283">
        <v>3</v>
      </c>
      <c r="K283">
        <v>305</v>
      </c>
      <c r="L283">
        <v>628.54999999999995</v>
      </c>
      <c r="M283">
        <v>32967</v>
      </c>
      <c r="N283" t="s">
        <v>36</v>
      </c>
      <c r="O283" t="s">
        <v>27</v>
      </c>
      <c r="P283" t="s">
        <v>38</v>
      </c>
      <c r="Q283">
        <v>37</v>
      </c>
      <c r="R283">
        <v>100.42</v>
      </c>
    </row>
    <row r="284" spans="1:18" x14ac:dyDescent="0.3">
      <c r="A284" t="s">
        <v>629</v>
      </c>
      <c r="B284" t="s">
        <v>630</v>
      </c>
      <c r="C284" t="s">
        <v>31</v>
      </c>
      <c r="D284" t="s">
        <v>82</v>
      </c>
      <c r="E284" s="4">
        <v>44273</v>
      </c>
      <c r="F284" t="s">
        <v>43</v>
      </c>
      <c r="G284" t="s">
        <v>49</v>
      </c>
      <c r="H284" t="s">
        <v>50</v>
      </c>
      <c r="I284" t="s">
        <v>34</v>
      </c>
      <c r="J284">
        <v>2</v>
      </c>
      <c r="K284">
        <v>1159</v>
      </c>
      <c r="L284">
        <v>2695.82</v>
      </c>
      <c r="M284">
        <v>21259</v>
      </c>
      <c r="N284" t="s">
        <v>26</v>
      </c>
      <c r="O284" t="s">
        <v>37</v>
      </c>
      <c r="P284" t="s">
        <v>51</v>
      </c>
      <c r="Q284">
        <v>29</v>
      </c>
      <c r="R284">
        <v>248.78</v>
      </c>
    </row>
    <row r="285" spans="1:18" x14ac:dyDescent="0.3">
      <c r="A285" t="s">
        <v>631</v>
      </c>
      <c r="B285" t="s">
        <v>632</v>
      </c>
      <c r="C285" t="s">
        <v>97</v>
      </c>
      <c r="D285" t="s">
        <v>32</v>
      </c>
      <c r="E285" s="4">
        <v>43423</v>
      </c>
      <c r="F285" t="s">
        <v>60</v>
      </c>
      <c r="G285" t="s">
        <v>23</v>
      </c>
      <c r="H285" t="s">
        <v>70</v>
      </c>
      <c r="I285" t="s">
        <v>51</v>
      </c>
      <c r="J285">
        <v>4</v>
      </c>
      <c r="K285">
        <v>657</v>
      </c>
      <c r="L285">
        <v>744.09</v>
      </c>
      <c r="M285">
        <v>49818</v>
      </c>
      <c r="N285" t="s">
        <v>36</v>
      </c>
      <c r="O285" t="s">
        <v>56</v>
      </c>
      <c r="P285" t="s">
        <v>38</v>
      </c>
      <c r="Q285">
        <v>14</v>
      </c>
      <c r="R285">
        <v>71.97</v>
      </c>
    </row>
    <row r="286" spans="1:18" x14ac:dyDescent="0.3">
      <c r="A286" t="s">
        <v>633</v>
      </c>
      <c r="B286" t="s">
        <v>634</v>
      </c>
      <c r="C286" t="s">
        <v>116</v>
      </c>
      <c r="D286" t="s">
        <v>32</v>
      </c>
      <c r="E286" s="4">
        <v>41845</v>
      </c>
      <c r="F286" t="s">
        <v>65</v>
      </c>
      <c r="G286" t="s">
        <v>23</v>
      </c>
      <c r="H286" t="s">
        <v>55</v>
      </c>
      <c r="I286" t="s">
        <v>92</v>
      </c>
      <c r="J286">
        <v>4</v>
      </c>
      <c r="K286">
        <v>1359</v>
      </c>
      <c r="L286">
        <v>364.15</v>
      </c>
      <c r="M286">
        <v>1652</v>
      </c>
      <c r="N286" t="s">
        <v>61</v>
      </c>
      <c r="O286" t="s">
        <v>37</v>
      </c>
      <c r="P286" t="s">
        <v>25</v>
      </c>
      <c r="Q286">
        <v>14</v>
      </c>
      <c r="R286">
        <v>144.27000000000001</v>
      </c>
    </row>
    <row r="287" spans="1:18" x14ac:dyDescent="0.3">
      <c r="A287" t="s">
        <v>635</v>
      </c>
      <c r="B287" t="s">
        <v>636</v>
      </c>
      <c r="C287" t="s">
        <v>116</v>
      </c>
      <c r="D287" t="s">
        <v>32</v>
      </c>
      <c r="E287" s="4">
        <v>43353</v>
      </c>
      <c r="F287" t="s">
        <v>65</v>
      </c>
      <c r="G287" t="s">
        <v>44</v>
      </c>
      <c r="H287" t="s">
        <v>70</v>
      </c>
      <c r="I287" t="s">
        <v>25</v>
      </c>
      <c r="J287">
        <v>0</v>
      </c>
      <c r="K287">
        <v>204</v>
      </c>
      <c r="L287">
        <v>709.77</v>
      </c>
      <c r="M287">
        <v>15198</v>
      </c>
      <c r="N287" t="s">
        <v>26</v>
      </c>
      <c r="O287" t="s">
        <v>37</v>
      </c>
      <c r="P287" t="s">
        <v>51</v>
      </c>
      <c r="Q287">
        <v>18</v>
      </c>
      <c r="R287">
        <v>158.54</v>
      </c>
    </row>
    <row r="288" spans="1:18" x14ac:dyDescent="0.3">
      <c r="A288" t="s">
        <v>637</v>
      </c>
      <c r="B288" t="s">
        <v>638</v>
      </c>
      <c r="C288" t="s">
        <v>97</v>
      </c>
      <c r="D288" t="s">
        <v>42</v>
      </c>
      <c r="E288" s="4">
        <v>42414</v>
      </c>
      <c r="F288" t="s">
        <v>43</v>
      </c>
      <c r="G288" t="s">
        <v>33</v>
      </c>
      <c r="H288" t="s">
        <v>55</v>
      </c>
      <c r="I288" t="s">
        <v>92</v>
      </c>
      <c r="J288">
        <v>3</v>
      </c>
      <c r="K288">
        <v>1159</v>
      </c>
      <c r="L288">
        <v>4523.63</v>
      </c>
      <c r="M288">
        <v>22379</v>
      </c>
      <c r="N288" t="s">
        <v>61</v>
      </c>
      <c r="O288" t="s">
        <v>37</v>
      </c>
      <c r="P288" t="s">
        <v>28</v>
      </c>
      <c r="Q288">
        <v>50</v>
      </c>
      <c r="R288">
        <v>116.98</v>
      </c>
    </row>
    <row r="289" spans="1:18" x14ac:dyDescent="0.3">
      <c r="A289" t="s">
        <v>639</v>
      </c>
      <c r="B289" t="s">
        <v>640</v>
      </c>
      <c r="C289" t="s">
        <v>116</v>
      </c>
      <c r="D289" t="s">
        <v>59</v>
      </c>
      <c r="E289" s="4">
        <v>41939</v>
      </c>
      <c r="F289" t="s">
        <v>60</v>
      </c>
      <c r="G289" t="s">
        <v>49</v>
      </c>
      <c r="H289" t="s">
        <v>75</v>
      </c>
      <c r="I289" t="s">
        <v>25</v>
      </c>
      <c r="J289">
        <v>8</v>
      </c>
      <c r="K289">
        <v>287</v>
      </c>
      <c r="L289">
        <v>812.33</v>
      </c>
      <c r="M289">
        <v>13941</v>
      </c>
      <c r="N289" t="s">
        <v>26</v>
      </c>
      <c r="O289" t="s">
        <v>37</v>
      </c>
      <c r="P289" t="s">
        <v>45</v>
      </c>
      <c r="Q289">
        <v>28</v>
      </c>
      <c r="R289">
        <v>24.69</v>
      </c>
    </row>
    <row r="290" spans="1:18" x14ac:dyDescent="0.3">
      <c r="A290" t="s">
        <v>641</v>
      </c>
      <c r="B290" t="s">
        <v>642</v>
      </c>
      <c r="C290" t="s">
        <v>31</v>
      </c>
      <c r="D290" t="s">
        <v>21</v>
      </c>
      <c r="E290" s="4">
        <v>44537</v>
      </c>
      <c r="F290" t="s">
        <v>48</v>
      </c>
      <c r="G290" t="s">
        <v>44</v>
      </c>
      <c r="H290" t="s">
        <v>75</v>
      </c>
      <c r="I290" t="s">
        <v>35</v>
      </c>
      <c r="J290">
        <v>3</v>
      </c>
      <c r="K290">
        <v>1443</v>
      </c>
      <c r="L290">
        <v>3620.81</v>
      </c>
      <c r="M290">
        <v>7191</v>
      </c>
      <c r="N290" t="s">
        <v>36</v>
      </c>
      <c r="O290" t="s">
        <v>62</v>
      </c>
      <c r="P290" t="s">
        <v>25</v>
      </c>
      <c r="Q290">
        <v>14</v>
      </c>
      <c r="R290">
        <v>75.680000000000007</v>
      </c>
    </row>
    <row r="291" spans="1:18" x14ac:dyDescent="0.3">
      <c r="A291" t="s">
        <v>643</v>
      </c>
      <c r="B291" t="s">
        <v>644</v>
      </c>
      <c r="C291" t="s">
        <v>31</v>
      </c>
      <c r="D291" t="s">
        <v>109</v>
      </c>
      <c r="E291" s="4">
        <v>44089</v>
      </c>
      <c r="F291" t="s">
        <v>65</v>
      </c>
      <c r="G291" t="s">
        <v>102</v>
      </c>
      <c r="H291" t="s">
        <v>24</v>
      </c>
      <c r="I291" t="s">
        <v>76</v>
      </c>
      <c r="J291">
        <v>5</v>
      </c>
      <c r="K291">
        <v>381</v>
      </c>
      <c r="L291">
        <v>4014.74</v>
      </c>
      <c r="M291">
        <v>29274</v>
      </c>
      <c r="N291" t="s">
        <v>26</v>
      </c>
      <c r="O291" t="s">
        <v>27</v>
      </c>
      <c r="P291" t="s">
        <v>28</v>
      </c>
      <c r="Q291">
        <v>19</v>
      </c>
      <c r="R291">
        <v>73.11</v>
      </c>
    </row>
    <row r="292" spans="1:18" x14ac:dyDescent="0.3">
      <c r="A292" t="s">
        <v>645</v>
      </c>
      <c r="B292" t="s">
        <v>646</v>
      </c>
      <c r="C292" t="s">
        <v>116</v>
      </c>
      <c r="D292" t="s">
        <v>42</v>
      </c>
      <c r="E292" s="4">
        <v>45514</v>
      </c>
      <c r="F292" t="s">
        <v>60</v>
      </c>
      <c r="G292" t="s">
        <v>83</v>
      </c>
      <c r="H292" t="s">
        <v>55</v>
      </c>
      <c r="I292" t="s">
        <v>35</v>
      </c>
      <c r="J292">
        <v>7</v>
      </c>
      <c r="K292">
        <v>83</v>
      </c>
      <c r="L292">
        <v>4626.12</v>
      </c>
      <c r="M292">
        <v>40163</v>
      </c>
      <c r="N292" t="s">
        <v>61</v>
      </c>
      <c r="O292" t="s">
        <v>37</v>
      </c>
      <c r="P292" t="s">
        <v>45</v>
      </c>
      <c r="Q292">
        <v>50</v>
      </c>
      <c r="R292">
        <v>214.43</v>
      </c>
    </row>
    <row r="293" spans="1:18" x14ac:dyDescent="0.3">
      <c r="A293" t="s">
        <v>647</v>
      </c>
      <c r="B293" t="s">
        <v>648</v>
      </c>
      <c r="C293" t="s">
        <v>116</v>
      </c>
      <c r="D293" t="s">
        <v>109</v>
      </c>
      <c r="E293" s="4">
        <v>42014</v>
      </c>
      <c r="F293" t="s">
        <v>69</v>
      </c>
      <c r="G293" t="s">
        <v>23</v>
      </c>
      <c r="H293" t="s">
        <v>24</v>
      </c>
      <c r="I293" t="s">
        <v>25</v>
      </c>
      <c r="J293">
        <v>6</v>
      </c>
      <c r="K293">
        <v>1131</v>
      </c>
      <c r="L293">
        <v>1394.76</v>
      </c>
      <c r="M293">
        <v>13364</v>
      </c>
      <c r="N293" t="s">
        <v>36</v>
      </c>
      <c r="O293" t="s">
        <v>27</v>
      </c>
      <c r="P293" t="s">
        <v>28</v>
      </c>
      <c r="Q293">
        <v>39</v>
      </c>
      <c r="R293">
        <v>159.24</v>
      </c>
    </row>
    <row r="294" spans="1:18" x14ac:dyDescent="0.3">
      <c r="A294" t="s">
        <v>649</v>
      </c>
      <c r="B294" t="s">
        <v>650</v>
      </c>
      <c r="C294" t="s">
        <v>41</v>
      </c>
      <c r="D294" t="s">
        <v>59</v>
      </c>
      <c r="E294" s="4">
        <v>45789</v>
      </c>
      <c r="F294" t="s">
        <v>43</v>
      </c>
      <c r="G294" t="s">
        <v>44</v>
      </c>
      <c r="H294" t="s">
        <v>75</v>
      </c>
      <c r="I294" t="s">
        <v>34</v>
      </c>
      <c r="J294">
        <v>7</v>
      </c>
      <c r="K294">
        <v>1049</v>
      </c>
      <c r="L294">
        <v>4587.6899999999996</v>
      </c>
      <c r="M294">
        <v>28429</v>
      </c>
      <c r="N294" t="s">
        <v>61</v>
      </c>
      <c r="O294" t="s">
        <v>62</v>
      </c>
      <c r="P294" t="s">
        <v>28</v>
      </c>
      <c r="Q294">
        <v>8</v>
      </c>
      <c r="R294">
        <v>75.56</v>
      </c>
    </row>
    <row r="295" spans="1:18" x14ac:dyDescent="0.3">
      <c r="A295" t="s">
        <v>651</v>
      </c>
      <c r="B295" t="s">
        <v>652</v>
      </c>
      <c r="C295" t="s">
        <v>20</v>
      </c>
      <c r="D295" t="s">
        <v>59</v>
      </c>
      <c r="E295" s="4">
        <v>43947</v>
      </c>
      <c r="F295" t="s">
        <v>65</v>
      </c>
      <c r="G295" t="s">
        <v>102</v>
      </c>
      <c r="H295" t="s">
        <v>34</v>
      </c>
      <c r="I295" t="s">
        <v>25</v>
      </c>
      <c r="J295">
        <v>5</v>
      </c>
      <c r="K295">
        <v>986</v>
      </c>
      <c r="L295">
        <v>2982.43</v>
      </c>
      <c r="M295">
        <v>40120</v>
      </c>
      <c r="N295" t="s">
        <v>36</v>
      </c>
      <c r="O295" t="s">
        <v>56</v>
      </c>
      <c r="P295" t="s">
        <v>51</v>
      </c>
      <c r="Q295">
        <v>17</v>
      </c>
      <c r="R295">
        <v>175.64</v>
      </c>
    </row>
    <row r="296" spans="1:18" x14ac:dyDescent="0.3">
      <c r="A296" t="s">
        <v>653</v>
      </c>
      <c r="B296" t="s">
        <v>654</v>
      </c>
      <c r="C296" t="s">
        <v>116</v>
      </c>
      <c r="D296" t="s">
        <v>42</v>
      </c>
      <c r="E296" s="4">
        <v>40550</v>
      </c>
      <c r="F296" t="s">
        <v>22</v>
      </c>
      <c r="G296" t="s">
        <v>23</v>
      </c>
      <c r="H296" t="s">
        <v>50</v>
      </c>
      <c r="I296" t="s">
        <v>35</v>
      </c>
      <c r="J296">
        <v>6</v>
      </c>
      <c r="K296">
        <v>166</v>
      </c>
      <c r="L296">
        <v>680.79</v>
      </c>
      <c r="M296">
        <v>3764</v>
      </c>
      <c r="N296" t="s">
        <v>36</v>
      </c>
      <c r="O296" t="s">
        <v>56</v>
      </c>
      <c r="P296" t="s">
        <v>51</v>
      </c>
      <c r="Q296">
        <v>32</v>
      </c>
      <c r="R296">
        <v>122.04</v>
      </c>
    </row>
    <row r="297" spans="1:18" x14ac:dyDescent="0.3">
      <c r="A297" t="s">
        <v>655</v>
      </c>
      <c r="B297" t="s">
        <v>656</v>
      </c>
      <c r="C297" t="s">
        <v>79</v>
      </c>
      <c r="D297" t="s">
        <v>32</v>
      </c>
      <c r="E297" s="4">
        <v>41494</v>
      </c>
      <c r="F297" t="s">
        <v>60</v>
      </c>
      <c r="G297" t="s">
        <v>102</v>
      </c>
      <c r="H297" t="s">
        <v>50</v>
      </c>
      <c r="I297" t="s">
        <v>76</v>
      </c>
      <c r="J297">
        <v>2</v>
      </c>
      <c r="K297">
        <v>668</v>
      </c>
      <c r="L297">
        <v>2682.81</v>
      </c>
      <c r="M297">
        <v>21760</v>
      </c>
      <c r="N297" t="s">
        <v>61</v>
      </c>
      <c r="O297" t="s">
        <v>37</v>
      </c>
      <c r="P297" t="s">
        <v>38</v>
      </c>
      <c r="Q297">
        <v>36</v>
      </c>
      <c r="R297">
        <v>150.15</v>
      </c>
    </row>
    <row r="298" spans="1:18" x14ac:dyDescent="0.3">
      <c r="A298" t="s">
        <v>657</v>
      </c>
      <c r="B298" t="s">
        <v>658</v>
      </c>
      <c r="C298" t="s">
        <v>20</v>
      </c>
      <c r="D298" t="s">
        <v>21</v>
      </c>
      <c r="E298" s="4">
        <v>43815</v>
      </c>
      <c r="F298" t="s">
        <v>60</v>
      </c>
      <c r="G298" t="s">
        <v>44</v>
      </c>
      <c r="H298" t="s">
        <v>75</v>
      </c>
      <c r="I298" t="s">
        <v>25</v>
      </c>
      <c r="J298">
        <v>7</v>
      </c>
      <c r="K298">
        <v>809</v>
      </c>
      <c r="L298">
        <v>1072.73</v>
      </c>
      <c r="M298">
        <v>41963</v>
      </c>
      <c r="N298" t="s">
        <v>36</v>
      </c>
      <c r="O298" t="s">
        <v>62</v>
      </c>
      <c r="P298" t="s">
        <v>28</v>
      </c>
      <c r="Q298">
        <v>5</v>
      </c>
      <c r="R298">
        <v>30.76</v>
      </c>
    </row>
    <row r="299" spans="1:18" x14ac:dyDescent="0.3">
      <c r="A299" t="s">
        <v>659</v>
      </c>
      <c r="B299" t="s">
        <v>660</v>
      </c>
      <c r="C299" t="s">
        <v>68</v>
      </c>
      <c r="D299" t="s">
        <v>109</v>
      </c>
      <c r="E299" s="4">
        <v>44998</v>
      </c>
      <c r="F299" t="s">
        <v>48</v>
      </c>
      <c r="G299" t="s">
        <v>33</v>
      </c>
      <c r="H299" t="s">
        <v>75</v>
      </c>
      <c r="I299" t="s">
        <v>76</v>
      </c>
      <c r="J299">
        <v>6</v>
      </c>
      <c r="K299">
        <v>411</v>
      </c>
      <c r="L299">
        <v>1841.33</v>
      </c>
      <c r="M299">
        <v>11755</v>
      </c>
      <c r="N299" t="s">
        <v>36</v>
      </c>
      <c r="O299" t="s">
        <v>56</v>
      </c>
      <c r="P299" t="s">
        <v>52</v>
      </c>
      <c r="Q299">
        <v>27</v>
      </c>
      <c r="R299">
        <v>17.34</v>
      </c>
    </row>
    <row r="300" spans="1:18" x14ac:dyDescent="0.3">
      <c r="A300" t="s">
        <v>661</v>
      </c>
      <c r="B300" t="s">
        <v>662</v>
      </c>
      <c r="C300" t="s">
        <v>68</v>
      </c>
      <c r="D300" t="s">
        <v>82</v>
      </c>
      <c r="E300" s="4">
        <v>46142</v>
      </c>
      <c r="F300" t="s">
        <v>69</v>
      </c>
      <c r="G300" t="s">
        <v>44</v>
      </c>
      <c r="H300" t="s">
        <v>50</v>
      </c>
      <c r="I300" t="s">
        <v>92</v>
      </c>
      <c r="J300">
        <v>8</v>
      </c>
      <c r="K300">
        <v>506</v>
      </c>
      <c r="L300">
        <v>1116.48</v>
      </c>
      <c r="M300">
        <v>24479</v>
      </c>
      <c r="N300" t="s">
        <v>36</v>
      </c>
      <c r="O300" t="s">
        <v>62</v>
      </c>
      <c r="P300" t="s">
        <v>25</v>
      </c>
      <c r="Q300">
        <v>41</v>
      </c>
      <c r="R300">
        <v>101.05</v>
      </c>
    </row>
    <row r="301" spans="1:18" x14ac:dyDescent="0.3">
      <c r="A301" t="s">
        <v>663</v>
      </c>
      <c r="B301" t="s">
        <v>664</v>
      </c>
      <c r="C301" t="s">
        <v>116</v>
      </c>
      <c r="D301" t="s">
        <v>59</v>
      </c>
      <c r="E301" s="4">
        <v>43819</v>
      </c>
      <c r="F301" t="s">
        <v>43</v>
      </c>
      <c r="G301" t="s">
        <v>23</v>
      </c>
      <c r="H301" t="s">
        <v>24</v>
      </c>
      <c r="I301" t="s">
        <v>51</v>
      </c>
      <c r="J301">
        <v>3</v>
      </c>
      <c r="K301">
        <v>1273</v>
      </c>
      <c r="L301">
        <v>2459.69</v>
      </c>
      <c r="M301">
        <v>5862</v>
      </c>
      <c r="N301" t="s">
        <v>61</v>
      </c>
      <c r="O301" t="s">
        <v>37</v>
      </c>
      <c r="P301" t="s">
        <v>52</v>
      </c>
      <c r="Q301">
        <v>30</v>
      </c>
      <c r="R301">
        <v>73.67</v>
      </c>
    </row>
    <row r="302" spans="1:18" x14ac:dyDescent="0.3">
      <c r="A302" t="s">
        <v>665</v>
      </c>
      <c r="B302" t="s">
        <v>666</v>
      </c>
      <c r="C302" t="s">
        <v>31</v>
      </c>
      <c r="D302" t="s">
        <v>59</v>
      </c>
      <c r="E302" s="4">
        <v>44612</v>
      </c>
      <c r="F302" t="s">
        <v>22</v>
      </c>
      <c r="G302" t="s">
        <v>49</v>
      </c>
      <c r="H302" t="s">
        <v>70</v>
      </c>
      <c r="I302" t="s">
        <v>51</v>
      </c>
      <c r="J302">
        <v>2</v>
      </c>
      <c r="K302">
        <v>420</v>
      </c>
      <c r="L302">
        <v>2634.7</v>
      </c>
      <c r="M302">
        <v>34181</v>
      </c>
      <c r="N302" t="s">
        <v>61</v>
      </c>
      <c r="O302" t="s">
        <v>27</v>
      </c>
      <c r="P302" t="s">
        <v>25</v>
      </c>
      <c r="Q302">
        <v>33</v>
      </c>
      <c r="R302">
        <v>27.37</v>
      </c>
    </row>
    <row r="303" spans="1:18" x14ac:dyDescent="0.3">
      <c r="A303" t="s">
        <v>667</v>
      </c>
      <c r="B303" t="s">
        <v>668</v>
      </c>
      <c r="C303" t="s">
        <v>116</v>
      </c>
      <c r="D303" t="s">
        <v>32</v>
      </c>
      <c r="E303" s="4">
        <v>45894</v>
      </c>
      <c r="F303" t="s">
        <v>65</v>
      </c>
      <c r="G303" t="s">
        <v>83</v>
      </c>
      <c r="H303" t="s">
        <v>70</v>
      </c>
      <c r="I303" t="s">
        <v>25</v>
      </c>
      <c r="J303">
        <v>2</v>
      </c>
      <c r="K303">
        <v>159</v>
      </c>
      <c r="L303">
        <v>157.02000000000001</v>
      </c>
      <c r="M303">
        <v>14276</v>
      </c>
      <c r="N303" t="s">
        <v>26</v>
      </c>
      <c r="O303" t="s">
        <v>62</v>
      </c>
      <c r="P303" t="s">
        <v>45</v>
      </c>
      <c r="Q303">
        <v>18</v>
      </c>
      <c r="R303">
        <v>176.75</v>
      </c>
    </row>
    <row r="304" spans="1:18" x14ac:dyDescent="0.3">
      <c r="A304" t="s">
        <v>669</v>
      </c>
      <c r="B304" t="s">
        <v>670</v>
      </c>
      <c r="C304" t="s">
        <v>97</v>
      </c>
      <c r="D304" t="s">
        <v>42</v>
      </c>
      <c r="E304" s="4">
        <v>42781</v>
      </c>
      <c r="F304" t="s">
        <v>65</v>
      </c>
      <c r="G304" t="s">
        <v>44</v>
      </c>
      <c r="H304" t="s">
        <v>34</v>
      </c>
      <c r="I304" t="s">
        <v>25</v>
      </c>
      <c r="J304">
        <v>7</v>
      </c>
      <c r="K304">
        <v>487</v>
      </c>
      <c r="L304">
        <v>3538.62</v>
      </c>
      <c r="M304">
        <v>37575</v>
      </c>
      <c r="N304" t="s">
        <v>36</v>
      </c>
      <c r="O304" t="s">
        <v>37</v>
      </c>
      <c r="P304" t="s">
        <v>38</v>
      </c>
      <c r="Q304">
        <v>38</v>
      </c>
      <c r="R304">
        <v>145.44999999999999</v>
      </c>
    </row>
    <row r="305" spans="1:18" x14ac:dyDescent="0.3">
      <c r="A305" t="s">
        <v>671</v>
      </c>
      <c r="B305" t="s">
        <v>672</v>
      </c>
      <c r="C305" t="s">
        <v>31</v>
      </c>
      <c r="D305" t="s">
        <v>59</v>
      </c>
      <c r="E305" s="4">
        <v>45961</v>
      </c>
      <c r="F305" t="s">
        <v>65</v>
      </c>
      <c r="G305" t="s">
        <v>44</v>
      </c>
      <c r="H305" t="s">
        <v>55</v>
      </c>
      <c r="I305" t="s">
        <v>34</v>
      </c>
      <c r="J305">
        <v>0</v>
      </c>
      <c r="K305">
        <v>268</v>
      </c>
      <c r="L305">
        <v>4695.6899999999996</v>
      </c>
      <c r="M305">
        <v>32002</v>
      </c>
      <c r="N305" t="s">
        <v>26</v>
      </c>
      <c r="O305" t="s">
        <v>56</v>
      </c>
      <c r="P305" t="s">
        <v>38</v>
      </c>
      <c r="Q305">
        <v>46</v>
      </c>
      <c r="R305">
        <v>10.48</v>
      </c>
    </row>
    <row r="306" spans="1:18" x14ac:dyDescent="0.3">
      <c r="A306" t="s">
        <v>673</v>
      </c>
      <c r="B306" t="s">
        <v>674</v>
      </c>
      <c r="C306" t="s">
        <v>68</v>
      </c>
      <c r="D306" t="s">
        <v>82</v>
      </c>
      <c r="E306" s="4">
        <v>45295</v>
      </c>
      <c r="F306" t="s">
        <v>43</v>
      </c>
      <c r="G306" t="s">
        <v>102</v>
      </c>
      <c r="H306" t="s">
        <v>34</v>
      </c>
      <c r="I306" t="s">
        <v>34</v>
      </c>
      <c r="J306">
        <v>4</v>
      </c>
      <c r="K306">
        <v>874</v>
      </c>
      <c r="L306">
        <v>1383.2</v>
      </c>
      <c r="M306">
        <v>29857</v>
      </c>
      <c r="N306" t="s">
        <v>36</v>
      </c>
      <c r="O306" t="s">
        <v>62</v>
      </c>
      <c r="P306" t="s">
        <v>28</v>
      </c>
      <c r="Q306">
        <v>12</v>
      </c>
      <c r="R306">
        <v>43.5</v>
      </c>
    </row>
    <row r="307" spans="1:18" x14ac:dyDescent="0.3">
      <c r="A307" t="s">
        <v>675</v>
      </c>
      <c r="B307" t="s">
        <v>676</v>
      </c>
      <c r="C307" t="s">
        <v>20</v>
      </c>
      <c r="D307" t="s">
        <v>32</v>
      </c>
      <c r="E307" s="4">
        <v>40260</v>
      </c>
      <c r="F307" t="s">
        <v>43</v>
      </c>
      <c r="G307" t="s">
        <v>83</v>
      </c>
      <c r="H307" t="s">
        <v>75</v>
      </c>
      <c r="I307" t="s">
        <v>34</v>
      </c>
      <c r="J307">
        <v>3</v>
      </c>
      <c r="K307">
        <v>738</v>
      </c>
      <c r="L307">
        <v>4289.6400000000003</v>
      </c>
      <c r="M307">
        <v>48463</v>
      </c>
      <c r="N307" t="s">
        <v>61</v>
      </c>
      <c r="O307" t="s">
        <v>56</v>
      </c>
      <c r="P307" t="s">
        <v>38</v>
      </c>
      <c r="Q307">
        <v>44</v>
      </c>
      <c r="R307">
        <v>106.85</v>
      </c>
    </row>
    <row r="308" spans="1:18" x14ac:dyDescent="0.3">
      <c r="A308" t="s">
        <v>677</v>
      </c>
      <c r="B308" t="s">
        <v>678</v>
      </c>
      <c r="C308" t="s">
        <v>41</v>
      </c>
      <c r="D308" t="s">
        <v>21</v>
      </c>
      <c r="E308" s="4">
        <v>44714</v>
      </c>
      <c r="F308" t="s">
        <v>43</v>
      </c>
      <c r="G308" t="s">
        <v>23</v>
      </c>
      <c r="H308" t="s">
        <v>55</v>
      </c>
      <c r="I308" t="s">
        <v>34</v>
      </c>
      <c r="J308">
        <v>1</v>
      </c>
      <c r="K308">
        <v>647</v>
      </c>
      <c r="L308">
        <v>2535.5300000000002</v>
      </c>
      <c r="M308">
        <v>48976</v>
      </c>
      <c r="N308" t="s">
        <v>26</v>
      </c>
      <c r="O308" t="s">
        <v>27</v>
      </c>
      <c r="P308" t="s">
        <v>38</v>
      </c>
      <c r="Q308">
        <v>16</v>
      </c>
      <c r="R308">
        <v>163.04</v>
      </c>
    </row>
    <row r="309" spans="1:18" x14ac:dyDescent="0.3">
      <c r="A309" t="s">
        <v>679</v>
      </c>
      <c r="B309" t="s">
        <v>680</v>
      </c>
      <c r="C309" t="s">
        <v>20</v>
      </c>
      <c r="D309" t="s">
        <v>109</v>
      </c>
      <c r="E309" s="4">
        <v>44085</v>
      </c>
      <c r="F309" t="s">
        <v>65</v>
      </c>
      <c r="G309" t="s">
        <v>44</v>
      </c>
      <c r="H309" t="s">
        <v>50</v>
      </c>
      <c r="I309" t="s">
        <v>51</v>
      </c>
      <c r="J309">
        <v>5</v>
      </c>
      <c r="K309">
        <v>431</v>
      </c>
      <c r="L309">
        <v>3001.42</v>
      </c>
      <c r="M309">
        <v>2029</v>
      </c>
      <c r="N309" t="s">
        <v>26</v>
      </c>
      <c r="O309" t="s">
        <v>37</v>
      </c>
      <c r="P309" t="s">
        <v>25</v>
      </c>
      <c r="Q309">
        <v>4</v>
      </c>
      <c r="R309">
        <v>176.39</v>
      </c>
    </row>
    <row r="310" spans="1:18" x14ac:dyDescent="0.3">
      <c r="A310" t="s">
        <v>681</v>
      </c>
      <c r="B310" t="s">
        <v>682</v>
      </c>
      <c r="C310" t="s">
        <v>97</v>
      </c>
      <c r="D310" t="s">
        <v>109</v>
      </c>
      <c r="E310" s="4">
        <v>41128</v>
      </c>
      <c r="F310" t="s">
        <v>43</v>
      </c>
      <c r="G310" t="s">
        <v>49</v>
      </c>
      <c r="H310" t="s">
        <v>50</v>
      </c>
      <c r="I310" t="s">
        <v>76</v>
      </c>
      <c r="J310">
        <v>6</v>
      </c>
      <c r="K310">
        <v>716</v>
      </c>
      <c r="L310">
        <v>1546.47</v>
      </c>
      <c r="M310">
        <v>13139</v>
      </c>
      <c r="N310" t="s">
        <v>61</v>
      </c>
      <c r="O310" t="s">
        <v>27</v>
      </c>
      <c r="P310" t="s">
        <v>25</v>
      </c>
      <c r="Q310">
        <v>17</v>
      </c>
      <c r="R310">
        <v>14.95</v>
      </c>
    </row>
    <row r="311" spans="1:18" x14ac:dyDescent="0.3">
      <c r="A311" t="s">
        <v>683</v>
      </c>
      <c r="B311" t="s">
        <v>684</v>
      </c>
      <c r="C311" t="s">
        <v>79</v>
      </c>
      <c r="D311" t="s">
        <v>59</v>
      </c>
      <c r="E311" s="4">
        <v>40583</v>
      </c>
      <c r="F311" t="s">
        <v>48</v>
      </c>
      <c r="G311" t="s">
        <v>33</v>
      </c>
      <c r="H311" t="s">
        <v>55</v>
      </c>
      <c r="I311" t="s">
        <v>51</v>
      </c>
      <c r="J311">
        <v>6</v>
      </c>
      <c r="K311">
        <v>915</v>
      </c>
      <c r="L311">
        <v>3090.43</v>
      </c>
      <c r="M311">
        <v>42645</v>
      </c>
      <c r="N311" t="s">
        <v>26</v>
      </c>
      <c r="O311" t="s">
        <v>62</v>
      </c>
      <c r="P311" t="s">
        <v>52</v>
      </c>
      <c r="Q311">
        <v>50</v>
      </c>
      <c r="R311">
        <v>115.36</v>
      </c>
    </row>
    <row r="312" spans="1:18" x14ac:dyDescent="0.3">
      <c r="A312" t="s">
        <v>685</v>
      </c>
      <c r="B312" t="s">
        <v>686</v>
      </c>
      <c r="C312" t="s">
        <v>97</v>
      </c>
      <c r="D312" t="s">
        <v>59</v>
      </c>
      <c r="E312" s="4">
        <v>40257</v>
      </c>
      <c r="F312" t="s">
        <v>48</v>
      </c>
      <c r="G312" t="s">
        <v>49</v>
      </c>
      <c r="H312" t="s">
        <v>34</v>
      </c>
      <c r="I312" t="s">
        <v>34</v>
      </c>
      <c r="J312">
        <v>3</v>
      </c>
      <c r="K312">
        <v>1320</v>
      </c>
      <c r="L312">
        <v>4458.92</v>
      </c>
      <c r="M312">
        <v>5819</v>
      </c>
      <c r="N312" t="s">
        <v>36</v>
      </c>
      <c r="O312" t="s">
        <v>27</v>
      </c>
      <c r="P312" t="s">
        <v>38</v>
      </c>
      <c r="Q312">
        <v>40</v>
      </c>
      <c r="R312">
        <v>111.15</v>
      </c>
    </row>
    <row r="313" spans="1:18" x14ac:dyDescent="0.3">
      <c r="A313" t="s">
        <v>687</v>
      </c>
      <c r="B313" t="s">
        <v>688</v>
      </c>
      <c r="C313" t="s">
        <v>79</v>
      </c>
      <c r="D313" t="s">
        <v>42</v>
      </c>
      <c r="E313" s="4">
        <v>41063</v>
      </c>
      <c r="F313" t="s">
        <v>65</v>
      </c>
      <c r="G313" t="s">
        <v>102</v>
      </c>
      <c r="H313" t="s">
        <v>70</v>
      </c>
      <c r="I313" t="s">
        <v>35</v>
      </c>
      <c r="J313">
        <v>4</v>
      </c>
      <c r="K313">
        <v>1357</v>
      </c>
      <c r="L313">
        <v>785.28</v>
      </c>
      <c r="M313">
        <v>19652</v>
      </c>
      <c r="N313" t="s">
        <v>26</v>
      </c>
      <c r="O313" t="s">
        <v>62</v>
      </c>
      <c r="P313" t="s">
        <v>25</v>
      </c>
      <c r="Q313">
        <v>39</v>
      </c>
      <c r="R313">
        <v>138.65</v>
      </c>
    </row>
    <row r="314" spans="1:18" x14ac:dyDescent="0.3">
      <c r="A314" t="s">
        <v>689</v>
      </c>
      <c r="B314" t="s">
        <v>690</v>
      </c>
      <c r="C314" t="s">
        <v>79</v>
      </c>
      <c r="D314" t="s">
        <v>82</v>
      </c>
      <c r="E314" s="4">
        <v>43073</v>
      </c>
      <c r="F314" t="s">
        <v>22</v>
      </c>
      <c r="G314" t="s">
        <v>83</v>
      </c>
      <c r="H314" t="s">
        <v>70</v>
      </c>
      <c r="I314" t="s">
        <v>35</v>
      </c>
      <c r="J314">
        <v>7</v>
      </c>
      <c r="K314">
        <v>755</v>
      </c>
      <c r="L314">
        <v>1125.49</v>
      </c>
      <c r="M314">
        <v>48324</v>
      </c>
      <c r="N314" t="s">
        <v>36</v>
      </c>
      <c r="O314" t="s">
        <v>27</v>
      </c>
      <c r="P314" t="s">
        <v>45</v>
      </c>
      <c r="Q314">
        <v>41</v>
      </c>
      <c r="R314">
        <v>87.23</v>
      </c>
    </row>
    <row r="315" spans="1:18" x14ac:dyDescent="0.3">
      <c r="A315" t="s">
        <v>691</v>
      </c>
      <c r="B315" t="s">
        <v>692</v>
      </c>
      <c r="C315" t="s">
        <v>20</v>
      </c>
      <c r="D315" t="s">
        <v>82</v>
      </c>
      <c r="E315" s="4">
        <v>45988</v>
      </c>
      <c r="F315" t="s">
        <v>60</v>
      </c>
      <c r="G315" t="s">
        <v>23</v>
      </c>
      <c r="H315" t="s">
        <v>70</v>
      </c>
      <c r="I315" t="s">
        <v>51</v>
      </c>
      <c r="J315">
        <v>7</v>
      </c>
      <c r="K315">
        <v>125</v>
      </c>
      <c r="L315">
        <v>700.05</v>
      </c>
      <c r="M315">
        <v>37141</v>
      </c>
      <c r="N315" t="s">
        <v>26</v>
      </c>
      <c r="O315" t="s">
        <v>62</v>
      </c>
      <c r="P315" t="s">
        <v>52</v>
      </c>
      <c r="Q315">
        <v>34</v>
      </c>
      <c r="R315">
        <v>188.35</v>
      </c>
    </row>
    <row r="316" spans="1:18" x14ac:dyDescent="0.3">
      <c r="A316" t="s">
        <v>693</v>
      </c>
      <c r="B316" t="s">
        <v>694</v>
      </c>
      <c r="C316" t="s">
        <v>31</v>
      </c>
      <c r="D316" t="s">
        <v>32</v>
      </c>
      <c r="E316" s="4">
        <v>43430</v>
      </c>
      <c r="F316" t="s">
        <v>60</v>
      </c>
      <c r="G316" t="s">
        <v>44</v>
      </c>
      <c r="H316" t="s">
        <v>75</v>
      </c>
      <c r="I316" t="s">
        <v>35</v>
      </c>
      <c r="J316">
        <v>2</v>
      </c>
      <c r="K316">
        <v>99</v>
      </c>
      <c r="L316">
        <v>4241.3100000000004</v>
      </c>
      <c r="M316">
        <v>38896</v>
      </c>
      <c r="N316" t="s">
        <v>26</v>
      </c>
      <c r="O316" t="s">
        <v>27</v>
      </c>
      <c r="P316" t="s">
        <v>28</v>
      </c>
      <c r="Q316">
        <v>10</v>
      </c>
      <c r="R316">
        <v>218.97</v>
      </c>
    </row>
    <row r="317" spans="1:18" x14ac:dyDescent="0.3">
      <c r="A317" t="s">
        <v>695</v>
      </c>
      <c r="B317" t="s">
        <v>696</v>
      </c>
      <c r="C317" t="s">
        <v>31</v>
      </c>
      <c r="D317" t="s">
        <v>109</v>
      </c>
      <c r="E317" s="4">
        <v>45239</v>
      </c>
      <c r="F317" t="s">
        <v>22</v>
      </c>
      <c r="G317" t="s">
        <v>83</v>
      </c>
      <c r="H317" t="s">
        <v>34</v>
      </c>
      <c r="I317" t="s">
        <v>51</v>
      </c>
      <c r="J317">
        <v>2</v>
      </c>
      <c r="K317">
        <v>1162</v>
      </c>
      <c r="L317">
        <v>4780.3500000000004</v>
      </c>
      <c r="M317">
        <v>18967</v>
      </c>
      <c r="N317" t="s">
        <v>61</v>
      </c>
      <c r="O317" t="s">
        <v>62</v>
      </c>
      <c r="P317" t="s">
        <v>38</v>
      </c>
      <c r="Q317">
        <v>43</v>
      </c>
      <c r="R317">
        <v>186.48</v>
      </c>
    </row>
    <row r="318" spans="1:18" x14ac:dyDescent="0.3">
      <c r="A318" t="s">
        <v>697</v>
      </c>
      <c r="B318" t="s">
        <v>698</v>
      </c>
      <c r="C318" t="s">
        <v>116</v>
      </c>
      <c r="D318" t="s">
        <v>109</v>
      </c>
      <c r="E318" s="4">
        <v>43646</v>
      </c>
      <c r="F318" t="s">
        <v>60</v>
      </c>
      <c r="G318" t="s">
        <v>33</v>
      </c>
      <c r="H318" t="s">
        <v>34</v>
      </c>
      <c r="I318" t="s">
        <v>51</v>
      </c>
      <c r="J318">
        <v>2</v>
      </c>
      <c r="K318">
        <v>1050</v>
      </c>
      <c r="L318">
        <v>3365.51</v>
      </c>
      <c r="M318">
        <v>8642</v>
      </c>
      <c r="N318" t="s">
        <v>36</v>
      </c>
      <c r="O318" t="s">
        <v>62</v>
      </c>
      <c r="P318" t="s">
        <v>52</v>
      </c>
      <c r="Q318">
        <v>12</v>
      </c>
      <c r="R318">
        <v>127.92</v>
      </c>
    </row>
    <row r="319" spans="1:18" x14ac:dyDescent="0.3">
      <c r="A319" t="s">
        <v>699</v>
      </c>
      <c r="B319" t="s">
        <v>700</v>
      </c>
      <c r="C319" t="s">
        <v>97</v>
      </c>
      <c r="D319" t="s">
        <v>42</v>
      </c>
      <c r="E319" s="4">
        <v>42651</v>
      </c>
      <c r="F319" t="s">
        <v>43</v>
      </c>
      <c r="G319" t="s">
        <v>33</v>
      </c>
      <c r="H319" t="s">
        <v>70</v>
      </c>
      <c r="I319" t="s">
        <v>34</v>
      </c>
      <c r="J319">
        <v>0</v>
      </c>
      <c r="K319">
        <v>691</v>
      </c>
      <c r="L319">
        <v>3687.83</v>
      </c>
      <c r="M319">
        <v>46472</v>
      </c>
      <c r="N319" t="s">
        <v>26</v>
      </c>
      <c r="O319" t="s">
        <v>27</v>
      </c>
      <c r="P319" t="s">
        <v>28</v>
      </c>
      <c r="Q319">
        <v>12</v>
      </c>
      <c r="R319">
        <v>41.75</v>
      </c>
    </row>
    <row r="320" spans="1:18" x14ac:dyDescent="0.3">
      <c r="A320" t="s">
        <v>701</v>
      </c>
      <c r="B320" t="s">
        <v>702</v>
      </c>
      <c r="C320" t="s">
        <v>41</v>
      </c>
      <c r="D320" t="s">
        <v>21</v>
      </c>
      <c r="E320" s="4">
        <v>44619</v>
      </c>
      <c r="F320" t="s">
        <v>69</v>
      </c>
      <c r="G320" t="s">
        <v>83</v>
      </c>
      <c r="H320" t="s">
        <v>34</v>
      </c>
      <c r="I320" t="s">
        <v>25</v>
      </c>
      <c r="J320">
        <v>7</v>
      </c>
      <c r="K320">
        <v>381</v>
      </c>
      <c r="L320">
        <v>193.82</v>
      </c>
      <c r="M320">
        <v>38503</v>
      </c>
      <c r="N320" t="s">
        <v>26</v>
      </c>
      <c r="O320" t="s">
        <v>56</v>
      </c>
      <c r="P320" t="s">
        <v>51</v>
      </c>
      <c r="Q320">
        <v>3</v>
      </c>
      <c r="R320">
        <v>213.52</v>
      </c>
    </row>
    <row r="321" spans="1:18" x14ac:dyDescent="0.3">
      <c r="A321" t="s">
        <v>703</v>
      </c>
      <c r="B321" t="s">
        <v>704</v>
      </c>
      <c r="C321" t="s">
        <v>97</v>
      </c>
      <c r="D321" t="s">
        <v>109</v>
      </c>
      <c r="E321" s="4">
        <v>43184</v>
      </c>
      <c r="F321" t="s">
        <v>60</v>
      </c>
      <c r="G321" t="s">
        <v>49</v>
      </c>
      <c r="H321" t="s">
        <v>24</v>
      </c>
      <c r="I321" t="s">
        <v>35</v>
      </c>
      <c r="J321">
        <v>5</v>
      </c>
      <c r="K321">
        <v>1113</v>
      </c>
      <c r="L321">
        <v>4354.71</v>
      </c>
      <c r="M321">
        <v>12378</v>
      </c>
      <c r="N321" t="s">
        <v>36</v>
      </c>
      <c r="O321" t="s">
        <v>62</v>
      </c>
      <c r="P321" t="s">
        <v>52</v>
      </c>
      <c r="Q321">
        <v>27</v>
      </c>
      <c r="R321">
        <v>84.16</v>
      </c>
    </row>
    <row r="322" spans="1:18" x14ac:dyDescent="0.3">
      <c r="A322" t="s">
        <v>705</v>
      </c>
      <c r="B322" t="s">
        <v>706</v>
      </c>
      <c r="C322" t="s">
        <v>68</v>
      </c>
      <c r="D322" t="s">
        <v>42</v>
      </c>
      <c r="E322" s="4">
        <v>45578</v>
      </c>
      <c r="F322" t="s">
        <v>43</v>
      </c>
      <c r="G322" t="s">
        <v>44</v>
      </c>
      <c r="H322" t="s">
        <v>34</v>
      </c>
      <c r="I322" t="s">
        <v>92</v>
      </c>
      <c r="J322">
        <v>7</v>
      </c>
      <c r="K322">
        <v>574</v>
      </c>
      <c r="L322">
        <v>4207.17</v>
      </c>
      <c r="M322">
        <v>30190</v>
      </c>
      <c r="N322" t="s">
        <v>26</v>
      </c>
      <c r="O322" t="s">
        <v>62</v>
      </c>
      <c r="P322" t="s">
        <v>52</v>
      </c>
      <c r="Q322">
        <v>44</v>
      </c>
      <c r="R322">
        <v>39.07</v>
      </c>
    </row>
    <row r="323" spans="1:18" x14ac:dyDescent="0.3">
      <c r="A323" t="s">
        <v>707</v>
      </c>
      <c r="B323" t="s">
        <v>708</v>
      </c>
      <c r="C323" t="s">
        <v>97</v>
      </c>
      <c r="D323" t="s">
        <v>32</v>
      </c>
      <c r="E323" s="4">
        <v>44437</v>
      </c>
      <c r="F323" t="s">
        <v>48</v>
      </c>
      <c r="G323" t="s">
        <v>49</v>
      </c>
      <c r="H323" t="s">
        <v>50</v>
      </c>
      <c r="I323" t="s">
        <v>51</v>
      </c>
      <c r="J323">
        <v>3</v>
      </c>
      <c r="K323">
        <v>1127</v>
      </c>
      <c r="L323">
        <v>743.21</v>
      </c>
      <c r="M323">
        <v>48778</v>
      </c>
      <c r="N323" t="s">
        <v>61</v>
      </c>
      <c r="O323" t="s">
        <v>56</v>
      </c>
      <c r="P323" t="s">
        <v>52</v>
      </c>
      <c r="Q323">
        <v>12</v>
      </c>
      <c r="R323">
        <v>47.38</v>
      </c>
    </row>
    <row r="324" spans="1:18" x14ac:dyDescent="0.3">
      <c r="A324" t="s">
        <v>709</v>
      </c>
      <c r="B324" t="s">
        <v>710</v>
      </c>
      <c r="C324" t="s">
        <v>41</v>
      </c>
      <c r="D324" t="s">
        <v>82</v>
      </c>
      <c r="E324" s="4">
        <v>44046</v>
      </c>
      <c r="F324" t="s">
        <v>22</v>
      </c>
      <c r="G324" t="s">
        <v>44</v>
      </c>
      <c r="H324" t="s">
        <v>55</v>
      </c>
      <c r="I324" t="s">
        <v>51</v>
      </c>
      <c r="J324">
        <v>7</v>
      </c>
      <c r="K324">
        <v>900</v>
      </c>
      <c r="L324">
        <v>2057.66</v>
      </c>
      <c r="M324">
        <v>15560</v>
      </c>
      <c r="N324" t="s">
        <v>61</v>
      </c>
      <c r="O324" t="s">
        <v>27</v>
      </c>
      <c r="P324" t="s">
        <v>45</v>
      </c>
      <c r="Q324">
        <v>34</v>
      </c>
      <c r="R324">
        <v>202.5</v>
      </c>
    </row>
    <row r="325" spans="1:18" x14ac:dyDescent="0.3">
      <c r="A325" t="s">
        <v>711</v>
      </c>
      <c r="B325" t="s">
        <v>712</v>
      </c>
      <c r="C325" t="s">
        <v>20</v>
      </c>
      <c r="D325" t="s">
        <v>109</v>
      </c>
      <c r="E325" s="4">
        <v>46044</v>
      </c>
      <c r="F325" t="s">
        <v>69</v>
      </c>
      <c r="G325" t="s">
        <v>44</v>
      </c>
      <c r="H325" t="s">
        <v>34</v>
      </c>
      <c r="I325" t="s">
        <v>51</v>
      </c>
      <c r="J325">
        <v>6</v>
      </c>
      <c r="K325">
        <v>392</v>
      </c>
      <c r="L325">
        <v>172.3</v>
      </c>
      <c r="M325">
        <v>24366</v>
      </c>
      <c r="N325" t="s">
        <v>61</v>
      </c>
      <c r="O325" t="s">
        <v>62</v>
      </c>
      <c r="P325" t="s">
        <v>45</v>
      </c>
      <c r="Q325">
        <v>20</v>
      </c>
      <c r="R325">
        <v>50.87</v>
      </c>
    </row>
    <row r="326" spans="1:18" x14ac:dyDescent="0.3">
      <c r="A326" t="s">
        <v>713</v>
      </c>
      <c r="B326" t="s">
        <v>714</v>
      </c>
      <c r="C326" t="s">
        <v>97</v>
      </c>
      <c r="D326" t="s">
        <v>109</v>
      </c>
      <c r="E326" s="4">
        <v>43568</v>
      </c>
      <c r="F326" t="s">
        <v>65</v>
      </c>
      <c r="G326" t="s">
        <v>49</v>
      </c>
      <c r="H326" t="s">
        <v>24</v>
      </c>
      <c r="I326" t="s">
        <v>35</v>
      </c>
      <c r="J326">
        <v>7</v>
      </c>
      <c r="K326">
        <v>279</v>
      </c>
      <c r="L326">
        <v>2783.08</v>
      </c>
      <c r="M326">
        <v>22530</v>
      </c>
      <c r="N326" t="s">
        <v>61</v>
      </c>
      <c r="O326" t="s">
        <v>27</v>
      </c>
      <c r="P326" t="s">
        <v>38</v>
      </c>
      <c r="Q326">
        <v>49</v>
      </c>
      <c r="R326">
        <v>207.05</v>
      </c>
    </row>
    <row r="327" spans="1:18" x14ac:dyDescent="0.3">
      <c r="A327" t="s">
        <v>715</v>
      </c>
      <c r="B327" t="s">
        <v>716</v>
      </c>
      <c r="C327" t="s">
        <v>116</v>
      </c>
      <c r="D327" t="s">
        <v>109</v>
      </c>
      <c r="E327" s="4">
        <v>45234</v>
      </c>
      <c r="F327" t="s">
        <v>48</v>
      </c>
      <c r="G327" t="s">
        <v>33</v>
      </c>
      <c r="H327" t="s">
        <v>55</v>
      </c>
      <c r="I327" t="s">
        <v>92</v>
      </c>
      <c r="J327">
        <v>8</v>
      </c>
      <c r="K327">
        <v>253</v>
      </c>
      <c r="L327">
        <v>3876.81</v>
      </c>
      <c r="M327">
        <v>2978</v>
      </c>
      <c r="N327" t="s">
        <v>61</v>
      </c>
      <c r="O327" t="s">
        <v>37</v>
      </c>
      <c r="P327" t="s">
        <v>28</v>
      </c>
      <c r="Q327">
        <v>40</v>
      </c>
      <c r="R327">
        <v>180.93</v>
      </c>
    </row>
    <row r="328" spans="1:18" x14ac:dyDescent="0.3">
      <c r="A328" t="s">
        <v>717</v>
      </c>
      <c r="B328" t="s">
        <v>718</v>
      </c>
      <c r="C328" t="s">
        <v>97</v>
      </c>
      <c r="D328" t="s">
        <v>21</v>
      </c>
      <c r="E328" s="4">
        <v>42163</v>
      </c>
      <c r="F328" t="s">
        <v>22</v>
      </c>
      <c r="G328" t="s">
        <v>83</v>
      </c>
      <c r="H328" t="s">
        <v>75</v>
      </c>
      <c r="I328" t="s">
        <v>35</v>
      </c>
      <c r="J328">
        <v>7</v>
      </c>
      <c r="K328">
        <v>821</v>
      </c>
      <c r="L328">
        <v>4896.75</v>
      </c>
      <c r="M328">
        <v>899</v>
      </c>
      <c r="N328" t="s">
        <v>26</v>
      </c>
      <c r="O328" t="s">
        <v>27</v>
      </c>
      <c r="P328" t="s">
        <v>45</v>
      </c>
      <c r="Q328">
        <v>12</v>
      </c>
      <c r="R328">
        <v>132.49</v>
      </c>
    </row>
    <row r="329" spans="1:18" x14ac:dyDescent="0.3">
      <c r="A329" t="s">
        <v>719</v>
      </c>
      <c r="B329" t="s">
        <v>720</v>
      </c>
      <c r="C329" t="s">
        <v>68</v>
      </c>
      <c r="D329" t="s">
        <v>21</v>
      </c>
      <c r="E329" s="4">
        <v>43942</v>
      </c>
      <c r="F329" t="s">
        <v>48</v>
      </c>
      <c r="G329" t="s">
        <v>23</v>
      </c>
      <c r="H329" t="s">
        <v>50</v>
      </c>
      <c r="I329" t="s">
        <v>34</v>
      </c>
      <c r="J329">
        <v>0</v>
      </c>
      <c r="K329">
        <v>940</v>
      </c>
      <c r="L329">
        <v>138.04</v>
      </c>
      <c r="M329">
        <v>41348</v>
      </c>
      <c r="N329" t="s">
        <v>36</v>
      </c>
      <c r="O329" t="s">
        <v>62</v>
      </c>
      <c r="P329" t="s">
        <v>45</v>
      </c>
      <c r="Q329">
        <v>38</v>
      </c>
      <c r="R329">
        <v>211.11</v>
      </c>
    </row>
    <row r="330" spans="1:18" x14ac:dyDescent="0.3">
      <c r="A330" t="s">
        <v>721</v>
      </c>
      <c r="B330" t="s">
        <v>722</v>
      </c>
      <c r="C330" t="s">
        <v>68</v>
      </c>
      <c r="D330" t="s">
        <v>32</v>
      </c>
      <c r="E330" s="4">
        <v>45253</v>
      </c>
      <c r="F330" t="s">
        <v>65</v>
      </c>
      <c r="G330" t="s">
        <v>33</v>
      </c>
      <c r="H330" t="s">
        <v>70</v>
      </c>
      <c r="I330" t="s">
        <v>25</v>
      </c>
      <c r="J330">
        <v>2</v>
      </c>
      <c r="K330">
        <v>853</v>
      </c>
      <c r="L330">
        <v>513.14</v>
      </c>
      <c r="M330">
        <v>26496</v>
      </c>
      <c r="N330" t="s">
        <v>61</v>
      </c>
      <c r="O330" t="s">
        <v>56</v>
      </c>
      <c r="P330" t="s">
        <v>38</v>
      </c>
      <c r="Q330">
        <v>3</v>
      </c>
      <c r="R330">
        <v>72.959999999999994</v>
      </c>
    </row>
    <row r="331" spans="1:18" x14ac:dyDescent="0.3">
      <c r="A331" t="s">
        <v>723</v>
      </c>
      <c r="B331" t="s">
        <v>724</v>
      </c>
      <c r="C331" t="s">
        <v>31</v>
      </c>
      <c r="D331" t="s">
        <v>82</v>
      </c>
      <c r="E331" s="4">
        <v>40807</v>
      </c>
      <c r="F331" t="s">
        <v>60</v>
      </c>
      <c r="G331" t="s">
        <v>83</v>
      </c>
      <c r="H331" t="s">
        <v>50</v>
      </c>
      <c r="I331" t="s">
        <v>35</v>
      </c>
      <c r="J331">
        <v>8</v>
      </c>
      <c r="K331">
        <v>1285</v>
      </c>
      <c r="L331">
        <v>545.54</v>
      </c>
      <c r="M331">
        <v>32896</v>
      </c>
      <c r="N331" t="s">
        <v>61</v>
      </c>
      <c r="O331" t="s">
        <v>37</v>
      </c>
      <c r="P331" t="s">
        <v>51</v>
      </c>
      <c r="Q331">
        <v>23</v>
      </c>
      <c r="R331">
        <v>54.77</v>
      </c>
    </row>
    <row r="332" spans="1:18" x14ac:dyDescent="0.3">
      <c r="A332" t="s">
        <v>725</v>
      </c>
      <c r="B332" t="s">
        <v>726</v>
      </c>
      <c r="C332" t="s">
        <v>68</v>
      </c>
      <c r="D332" t="s">
        <v>109</v>
      </c>
      <c r="E332" s="4">
        <v>43532</v>
      </c>
      <c r="F332" t="s">
        <v>60</v>
      </c>
      <c r="G332" t="s">
        <v>83</v>
      </c>
      <c r="H332" t="s">
        <v>75</v>
      </c>
      <c r="I332" t="s">
        <v>76</v>
      </c>
      <c r="J332">
        <v>7</v>
      </c>
      <c r="K332">
        <v>759</v>
      </c>
      <c r="L332">
        <v>3897.85</v>
      </c>
      <c r="M332">
        <v>21057</v>
      </c>
      <c r="N332" t="s">
        <v>61</v>
      </c>
      <c r="O332" t="s">
        <v>37</v>
      </c>
      <c r="P332" t="s">
        <v>51</v>
      </c>
      <c r="Q332">
        <v>11</v>
      </c>
      <c r="R332">
        <v>57.61</v>
      </c>
    </row>
    <row r="333" spans="1:18" x14ac:dyDescent="0.3">
      <c r="A333" t="s">
        <v>727</v>
      </c>
      <c r="B333" t="s">
        <v>728</v>
      </c>
      <c r="C333" t="s">
        <v>79</v>
      </c>
      <c r="D333" t="s">
        <v>59</v>
      </c>
      <c r="E333" s="4">
        <v>42184</v>
      </c>
      <c r="F333" t="s">
        <v>60</v>
      </c>
      <c r="G333" t="s">
        <v>33</v>
      </c>
      <c r="H333" t="s">
        <v>55</v>
      </c>
      <c r="I333" t="s">
        <v>35</v>
      </c>
      <c r="J333">
        <v>7</v>
      </c>
      <c r="K333">
        <v>855</v>
      </c>
      <c r="L333">
        <v>2801.5</v>
      </c>
      <c r="M333">
        <v>43033</v>
      </c>
      <c r="N333" t="s">
        <v>26</v>
      </c>
      <c r="O333" t="s">
        <v>37</v>
      </c>
      <c r="P333" t="s">
        <v>28</v>
      </c>
      <c r="Q333">
        <v>28</v>
      </c>
      <c r="R333">
        <v>209.53</v>
      </c>
    </row>
    <row r="334" spans="1:18" x14ac:dyDescent="0.3">
      <c r="A334" t="s">
        <v>729</v>
      </c>
      <c r="B334" t="s">
        <v>730</v>
      </c>
      <c r="C334" t="s">
        <v>41</v>
      </c>
      <c r="D334" t="s">
        <v>82</v>
      </c>
      <c r="E334" s="4">
        <v>42887</v>
      </c>
      <c r="F334" t="s">
        <v>65</v>
      </c>
      <c r="G334" t="s">
        <v>49</v>
      </c>
      <c r="H334" t="s">
        <v>70</v>
      </c>
      <c r="I334" t="s">
        <v>25</v>
      </c>
      <c r="J334">
        <v>6</v>
      </c>
      <c r="K334">
        <v>1291</v>
      </c>
      <c r="L334">
        <v>966.88</v>
      </c>
      <c r="M334">
        <v>40383</v>
      </c>
      <c r="N334" t="s">
        <v>61</v>
      </c>
      <c r="O334" t="s">
        <v>62</v>
      </c>
      <c r="P334" t="s">
        <v>51</v>
      </c>
      <c r="Q334">
        <v>33</v>
      </c>
      <c r="R334">
        <v>105.08</v>
      </c>
    </row>
    <row r="335" spans="1:18" x14ac:dyDescent="0.3">
      <c r="A335" t="s">
        <v>731</v>
      </c>
      <c r="B335" t="s">
        <v>732</v>
      </c>
      <c r="C335" t="s">
        <v>31</v>
      </c>
      <c r="D335" t="s">
        <v>82</v>
      </c>
      <c r="E335" s="4">
        <v>45473</v>
      </c>
      <c r="F335" t="s">
        <v>22</v>
      </c>
      <c r="G335" t="s">
        <v>23</v>
      </c>
      <c r="H335" t="s">
        <v>24</v>
      </c>
      <c r="I335" t="s">
        <v>35</v>
      </c>
      <c r="J335">
        <v>6</v>
      </c>
      <c r="K335">
        <v>852</v>
      </c>
      <c r="L335">
        <v>1670.05</v>
      </c>
      <c r="M335">
        <v>32667</v>
      </c>
      <c r="N335" t="s">
        <v>36</v>
      </c>
      <c r="O335" t="s">
        <v>56</v>
      </c>
      <c r="P335" t="s">
        <v>45</v>
      </c>
      <c r="Q335">
        <v>40</v>
      </c>
      <c r="R335">
        <v>131.35</v>
      </c>
    </row>
    <row r="336" spans="1:18" x14ac:dyDescent="0.3">
      <c r="A336" t="s">
        <v>733</v>
      </c>
      <c r="B336" t="s">
        <v>734</v>
      </c>
      <c r="C336" t="s">
        <v>20</v>
      </c>
      <c r="D336" t="s">
        <v>21</v>
      </c>
      <c r="E336" s="4">
        <v>46024</v>
      </c>
      <c r="F336" t="s">
        <v>65</v>
      </c>
      <c r="G336" t="s">
        <v>44</v>
      </c>
      <c r="H336" t="s">
        <v>24</v>
      </c>
      <c r="I336" t="s">
        <v>34</v>
      </c>
      <c r="J336">
        <v>7</v>
      </c>
      <c r="K336">
        <v>483</v>
      </c>
      <c r="L336">
        <v>4741.53</v>
      </c>
      <c r="M336">
        <v>40874</v>
      </c>
      <c r="N336" t="s">
        <v>36</v>
      </c>
      <c r="O336" t="s">
        <v>56</v>
      </c>
      <c r="P336" t="s">
        <v>51</v>
      </c>
      <c r="Q336">
        <v>12</v>
      </c>
      <c r="R336">
        <v>151.97</v>
      </c>
    </row>
    <row r="337" spans="1:18" x14ac:dyDescent="0.3">
      <c r="A337" t="s">
        <v>735</v>
      </c>
      <c r="B337" t="s">
        <v>736</v>
      </c>
      <c r="C337" t="s">
        <v>68</v>
      </c>
      <c r="D337" t="s">
        <v>82</v>
      </c>
      <c r="E337" s="4">
        <v>43974</v>
      </c>
      <c r="F337" t="s">
        <v>43</v>
      </c>
      <c r="G337" t="s">
        <v>49</v>
      </c>
      <c r="H337" t="s">
        <v>55</v>
      </c>
      <c r="I337" t="s">
        <v>92</v>
      </c>
      <c r="J337">
        <v>4</v>
      </c>
      <c r="K337">
        <v>614</v>
      </c>
      <c r="L337">
        <v>3630.01</v>
      </c>
      <c r="M337">
        <v>24882</v>
      </c>
      <c r="N337" t="s">
        <v>26</v>
      </c>
      <c r="O337" t="s">
        <v>62</v>
      </c>
      <c r="P337" t="s">
        <v>38</v>
      </c>
      <c r="Q337">
        <v>8</v>
      </c>
      <c r="R337">
        <v>135.13</v>
      </c>
    </row>
    <row r="338" spans="1:18" x14ac:dyDescent="0.3">
      <c r="A338" t="s">
        <v>737</v>
      </c>
      <c r="B338" t="s">
        <v>738</v>
      </c>
      <c r="C338" t="s">
        <v>68</v>
      </c>
      <c r="D338" t="s">
        <v>82</v>
      </c>
      <c r="E338" s="4">
        <v>42578</v>
      </c>
      <c r="F338" t="s">
        <v>43</v>
      </c>
      <c r="G338" t="s">
        <v>102</v>
      </c>
      <c r="H338" t="s">
        <v>55</v>
      </c>
      <c r="I338" t="s">
        <v>35</v>
      </c>
      <c r="J338">
        <v>4</v>
      </c>
      <c r="K338">
        <v>662</v>
      </c>
      <c r="L338">
        <v>3028.16</v>
      </c>
      <c r="M338">
        <v>11809</v>
      </c>
      <c r="N338" t="s">
        <v>61</v>
      </c>
      <c r="O338" t="s">
        <v>27</v>
      </c>
      <c r="P338" t="s">
        <v>38</v>
      </c>
      <c r="Q338">
        <v>10</v>
      </c>
      <c r="R338">
        <v>180.74</v>
      </c>
    </row>
    <row r="339" spans="1:18" x14ac:dyDescent="0.3">
      <c r="A339" t="s">
        <v>739</v>
      </c>
      <c r="B339" t="s">
        <v>740</v>
      </c>
      <c r="C339" t="s">
        <v>20</v>
      </c>
      <c r="D339" t="s">
        <v>59</v>
      </c>
      <c r="E339" s="4">
        <v>42547</v>
      </c>
      <c r="F339" t="s">
        <v>60</v>
      </c>
      <c r="G339" t="s">
        <v>49</v>
      </c>
      <c r="H339" t="s">
        <v>24</v>
      </c>
      <c r="I339" t="s">
        <v>34</v>
      </c>
      <c r="J339">
        <v>7</v>
      </c>
      <c r="K339">
        <v>1482</v>
      </c>
      <c r="L339">
        <v>3982.39</v>
      </c>
      <c r="M339">
        <v>2967</v>
      </c>
      <c r="N339" t="s">
        <v>36</v>
      </c>
      <c r="O339" t="s">
        <v>37</v>
      </c>
      <c r="P339" t="s">
        <v>25</v>
      </c>
      <c r="Q339">
        <v>1</v>
      </c>
      <c r="R339">
        <v>120.85</v>
      </c>
    </row>
    <row r="340" spans="1:18" x14ac:dyDescent="0.3">
      <c r="A340" t="s">
        <v>741</v>
      </c>
      <c r="B340" t="s">
        <v>742</v>
      </c>
      <c r="C340" t="s">
        <v>31</v>
      </c>
      <c r="D340" t="s">
        <v>82</v>
      </c>
      <c r="E340" s="4">
        <v>42781</v>
      </c>
      <c r="F340" t="s">
        <v>22</v>
      </c>
      <c r="G340" t="s">
        <v>102</v>
      </c>
      <c r="H340" t="s">
        <v>75</v>
      </c>
      <c r="I340" t="s">
        <v>51</v>
      </c>
      <c r="J340">
        <v>8</v>
      </c>
      <c r="K340">
        <v>348</v>
      </c>
      <c r="L340">
        <v>1160.58</v>
      </c>
      <c r="M340">
        <v>29068</v>
      </c>
      <c r="N340" t="s">
        <v>26</v>
      </c>
      <c r="O340" t="s">
        <v>27</v>
      </c>
      <c r="P340" t="s">
        <v>51</v>
      </c>
      <c r="Q340">
        <v>14</v>
      </c>
      <c r="R340">
        <v>236.45</v>
      </c>
    </row>
    <row r="341" spans="1:18" x14ac:dyDescent="0.3">
      <c r="A341" t="s">
        <v>743</v>
      </c>
      <c r="B341" t="s">
        <v>744</v>
      </c>
      <c r="C341" t="s">
        <v>41</v>
      </c>
      <c r="D341" t="s">
        <v>21</v>
      </c>
      <c r="E341" s="4">
        <v>41206</v>
      </c>
      <c r="F341" t="s">
        <v>48</v>
      </c>
      <c r="G341" t="s">
        <v>83</v>
      </c>
      <c r="H341" t="s">
        <v>75</v>
      </c>
      <c r="I341" t="s">
        <v>35</v>
      </c>
      <c r="J341">
        <v>6</v>
      </c>
      <c r="K341">
        <v>641</v>
      </c>
      <c r="L341">
        <v>2722</v>
      </c>
      <c r="M341">
        <v>34102</v>
      </c>
      <c r="N341" t="s">
        <v>61</v>
      </c>
      <c r="O341" t="s">
        <v>62</v>
      </c>
      <c r="P341" t="s">
        <v>51</v>
      </c>
      <c r="Q341">
        <v>42</v>
      </c>
      <c r="R341">
        <v>215.36</v>
      </c>
    </row>
    <row r="342" spans="1:18" x14ac:dyDescent="0.3">
      <c r="A342" t="s">
        <v>745</v>
      </c>
      <c r="B342" t="s">
        <v>746</v>
      </c>
      <c r="C342" t="s">
        <v>31</v>
      </c>
      <c r="D342" t="s">
        <v>59</v>
      </c>
      <c r="E342" s="4">
        <v>43816</v>
      </c>
      <c r="F342" t="s">
        <v>43</v>
      </c>
      <c r="G342" t="s">
        <v>44</v>
      </c>
      <c r="H342" t="s">
        <v>24</v>
      </c>
      <c r="I342" t="s">
        <v>76</v>
      </c>
      <c r="J342">
        <v>0</v>
      </c>
      <c r="K342">
        <v>931</v>
      </c>
      <c r="L342">
        <v>1927.89</v>
      </c>
      <c r="M342">
        <v>11087</v>
      </c>
      <c r="N342" t="s">
        <v>26</v>
      </c>
      <c r="O342" t="s">
        <v>37</v>
      </c>
      <c r="P342" t="s">
        <v>51</v>
      </c>
      <c r="Q342">
        <v>9</v>
      </c>
      <c r="R342">
        <v>200.34</v>
      </c>
    </row>
    <row r="343" spans="1:18" x14ac:dyDescent="0.3">
      <c r="A343" t="s">
        <v>747</v>
      </c>
      <c r="B343" t="s">
        <v>748</v>
      </c>
      <c r="C343" t="s">
        <v>79</v>
      </c>
      <c r="D343" t="s">
        <v>59</v>
      </c>
      <c r="E343" s="4">
        <v>41542</v>
      </c>
      <c r="F343" t="s">
        <v>60</v>
      </c>
      <c r="G343" t="s">
        <v>23</v>
      </c>
      <c r="H343" t="s">
        <v>75</v>
      </c>
      <c r="I343" t="s">
        <v>35</v>
      </c>
      <c r="J343">
        <v>3</v>
      </c>
      <c r="K343">
        <v>778</v>
      </c>
      <c r="L343">
        <v>1847.12</v>
      </c>
      <c r="M343">
        <v>47074</v>
      </c>
      <c r="N343" t="s">
        <v>36</v>
      </c>
      <c r="O343" t="s">
        <v>62</v>
      </c>
      <c r="P343" t="s">
        <v>51</v>
      </c>
      <c r="Q343">
        <v>41</v>
      </c>
      <c r="R343">
        <v>209.22</v>
      </c>
    </row>
    <row r="344" spans="1:18" x14ac:dyDescent="0.3">
      <c r="A344" t="s">
        <v>749</v>
      </c>
      <c r="B344" t="s">
        <v>750</v>
      </c>
      <c r="C344" t="s">
        <v>20</v>
      </c>
      <c r="D344" t="s">
        <v>82</v>
      </c>
      <c r="E344" s="4">
        <v>44170</v>
      </c>
      <c r="F344" t="s">
        <v>22</v>
      </c>
      <c r="G344" t="s">
        <v>33</v>
      </c>
      <c r="H344" t="s">
        <v>75</v>
      </c>
      <c r="I344" t="s">
        <v>76</v>
      </c>
      <c r="J344">
        <v>0</v>
      </c>
      <c r="K344">
        <v>1001</v>
      </c>
      <c r="L344">
        <v>1927.77</v>
      </c>
      <c r="M344">
        <v>48679</v>
      </c>
      <c r="N344" t="s">
        <v>26</v>
      </c>
      <c r="O344" t="s">
        <v>62</v>
      </c>
      <c r="P344" t="s">
        <v>45</v>
      </c>
      <c r="Q344">
        <v>7</v>
      </c>
      <c r="R344">
        <v>120.96</v>
      </c>
    </row>
    <row r="345" spans="1:18" x14ac:dyDescent="0.3">
      <c r="A345" t="s">
        <v>751</v>
      </c>
      <c r="B345" t="s">
        <v>752</v>
      </c>
      <c r="C345" t="s">
        <v>41</v>
      </c>
      <c r="D345" t="s">
        <v>59</v>
      </c>
      <c r="E345" s="4">
        <v>41973</v>
      </c>
      <c r="F345" t="s">
        <v>69</v>
      </c>
      <c r="G345" t="s">
        <v>49</v>
      </c>
      <c r="H345" t="s">
        <v>24</v>
      </c>
      <c r="I345" t="s">
        <v>51</v>
      </c>
      <c r="J345">
        <v>5</v>
      </c>
      <c r="K345">
        <v>832</v>
      </c>
      <c r="L345">
        <v>2733.9</v>
      </c>
      <c r="M345">
        <v>11577</v>
      </c>
      <c r="N345" t="s">
        <v>26</v>
      </c>
      <c r="O345" t="s">
        <v>62</v>
      </c>
      <c r="P345" t="s">
        <v>51</v>
      </c>
      <c r="Q345">
        <v>26</v>
      </c>
      <c r="R345">
        <v>76.98</v>
      </c>
    </row>
    <row r="346" spans="1:18" x14ac:dyDescent="0.3">
      <c r="A346" t="s">
        <v>753</v>
      </c>
      <c r="B346" t="s">
        <v>754</v>
      </c>
      <c r="C346" t="s">
        <v>116</v>
      </c>
      <c r="D346" t="s">
        <v>59</v>
      </c>
      <c r="E346" s="4">
        <v>40273</v>
      </c>
      <c r="F346" t="s">
        <v>60</v>
      </c>
      <c r="G346" t="s">
        <v>83</v>
      </c>
      <c r="H346" t="s">
        <v>55</v>
      </c>
      <c r="I346" t="s">
        <v>92</v>
      </c>
      <c r="J346">
        <v>4</v>
      </c>
      <c r="K346">
        <v>1156</v>
      </c>
      <c r="L346">
        <v>976.27</v>
      </c>
      <c r="M346">
        <v>32341</v>
      </c>
      <c r="N346" t="s">
        <v>36</v>
      </c>
      <c r="O346" t="s">
        <v>37</v>
      </c>
      <c r="P346" t="s">
        <v>51</v>
      </c>
      <c r="Q346">
        <v>37</v>
      </c>
      <c r="R346">
        <v>42.45</v>
      </c>
    </row>
    <row r="347" spans="1:18" x14ac:dyDescent="0.3">
      <c r="A347" t="s">
        <v>755</v>
      </c>
      <c r="B347" t="s">
        <v>756</v>
      </c>
      <c r="C347" t="s">
        <v>68</v>
      </c>
      <c r="D347" t="s">
        <v>109</v>
      </c>
      <c r="E347" s="4">
        <v>45232</v>
      </c>
      <c r="F347" t="s">
        <v>69</v>
      </c>
      <c r="G347" t="s">
        <v>102</v>
      </c>
      <c r="H347" t="s">
        <v>34</v>
      </c>
      <c r="I347" t="s">
        <v>25</v>
      </c>
      <c r="J347">
        <v>2</v>
      </c>
      <c r="K347">
        <v>452</v>
      </c>
      <c r="L347">
        <v>678.89</v>
      </c>
      <c r="M347">
        <v>14811</v>
      </c>
      <c r="N347" t="s">
        <v>26</v>
      </c>
      <c r="O347" t="s">
        <v>62</v>
      </c>
      <c r="P347" t="s">
        <v>25</v>
      </c>
      <c r="Q347">
        <v>26</v>
      </c>
      <c r="R347">
        <v>98.21</v>
      </c>
    </row>
    <row r="348" spans="1:18" x14ac:dyDescent="0.3">
      <c r="A348" t="s">
        <v>757</v>
      </c>
      <c r="B348" t="s">
        <v>758</v>
      </c>
      <c r="C348" t="s">
        <v>97</v>
      </c>
      <c r="D348" t="s">
        <v>59</v>
      </c>
      <c r="E348" s="4">
        <v>40776</v>
      </c>
      <c r="F348" t="s">
        <v>60</v>
      </c>
      <c r="G348" t="s">
        <v>102</v>
      </c>
      <c r="H348" t="s">
        <v>24</v>
      </c>
      <c r="I348" t="s">
        <v>51</v>
      </c>
      <c r="J348">
        <v>3</v>
      </c>
      <c r="K348">
        <v>44</v>
      </c>
      <c r="L348">
        <v>4306.41</v>
      </c>
      <c r="M348">
        <v>19895</v>
      </c>
      <c r="N348" t="s">
        <v>36</v>
      </c>
      <c r="O348" t="s">
        <v>62</v>
      </c>
      <c r="P348" t="s">
        <v>38</v>
      </c>
      <c r="Q348">
        <v>35</v>
      </c>
      <c r="R348">
        <v>73.86</v>
      </c>
    </row>
    <row r="349" spans="1:18" x14ac:dyDescent="0.3">
      <c r="A349" t="s">
        <v>759</v>
      </c>
      <c r="B349" t="s">
        <v>760</v>
      </c>
      <c r="C349" t="s">
        <v>116</v>
      </c>
      <c r="D349" t="s">
        <v>42</v>
      </c>
      <c r="E349" s="4">
        <v>42844</v>
      </c>
      <c r="F349" t="s">
        <v>48</v>
      </c>
      <c r="G349" t="s">
        <v>102</v>
      </c>
      <c r="H349" t="s">
        <v>70</v>
      </c>
      <c r="I349" t="s">
        <v>34</v>
      </c>
      <c r="J349">
        <v>8</v>
      </c>
      <c r="K349">
        <v>819</v>
      </c>
      <c r="L349">
        <v>316.64</v>
      </c>
      <c r="M349">
        <v>27506</v>
      </c>
      <c r="N349" t="s">
        <v>36</v>
      </c>
      <c r="O349" t="s">
        <v>27</v>
      </c>
      <c r="P349" t="s">
        <v>51</v>
      </c>
      <c r="Q349">
        <v>44</v>
      </c>
      <c r="R349">
        <v>128.69</v>
      </c>
    </row>
    <row r="350" spans="1:18" x14ac:dyDescent="0.3">
      <c r="A350" t="s">
        <v>761</v>
      </c>
      <c r="B350" t="s">
        <v>762</v>
      </c>
      <c r="C350" t="s">
        <v>116</v>
      </c>
      <c r="D350" t="s">
        <v>59</v>
      </c>
      <c r="E350" s="4">
        <v>44838</v>
      </c>
      <c r="F350" t="s">
        <v>65</v>
      </c>
      <c r="G350" t="s">
        <v>44</v>
      </c>
      <c r="H350" t="s">
        <v>55</v>
      </c>
      <c r="I350" t="s">
        <v>35</v>
      </c>
      <c r="J350">
        <v>4</v>
      </c>
      <c r="K350">
        <v>1438</v>
      </c>
      <c r="L350">
        <v>176.18</v>
      </c>
      <c r="M350">
        <v>30074</v>
      </c>
      <c r="N350" t="s">
        <v>36</v>
      </c>
      <c r="O350" t="s">
        <v>56</v>
      </c>
      <c r="P350" t="s">
        <v>52</v>
      </c>
      <c r="Q350">
        <v>6</v>
      </c>
      <c r="R350">
        <v>89.56</v>
      </c>
    </row>
    <row r="351" spans="1:18" x14ac:dyDescent="0.3">
      <c r="A351" t="s">
        <v>763</v>
      </c>
      <c r="B351" t="s">
        <v>764</v>
      </c>
      <c r="C351" t="s">
        <v>68</v>
      </c>
      <c r="D351" t="s">
        <v>59</v>
      </c>
      <c r="E351" s="4">
        <v>44461</v>
      </c>
      <c r="F351" t="s">
        <v>65</v>
      </c>
      <c r="G351" t="s">
        <v>23</v>
      </c>
      <c r="H351" t="s">
        <v>34</v>
      </c>
      <c r="I351" t="s">
        <v>35</v>
      </c>
      <c r="J351">
        <v>1</v>
      </c>
      <c r="K351">
        <v>752</v>
      </c>
      <c r="L351">
        <v>725.47</v>
      </c>
      <c r="M351">
        <v>45853</v>
      </c>
      <c r="N351" t="s">
        <v>26</v>
      </c>
      <c r="O351" t="s">
        <v>27</v>
      </c>
      <c r="P351" t="s">
        <v>52</v>
      </c>
      <c r="Q351">
        <v>32</v>
      </c>
      <c r="R351">
        <v>87.43</v>
      </c>
    </row>
    <row r="352" spans="1:18" x14ac:dyDescent="0.3">
      <c r="A352" t="s">
        <v>765</v>
      </c>
      <c r="B352" t="s">
        <v>766</v>
      </c>
      <c r="C352" t="s">
        <v>68</v>
      </c>
      <c r="D352" t="s">
        <v>21</v>
      </c>
      <c r="E352" s="4">
        <v>41819</v>
      </c>
      <c r="F352" t="s">
        <v>48</v>
      </c>
      <c r="G352" t="s">
        <v>83</v>
      </c>
      <c r="H352" t="s">
        <v>50</v>
      </c>
      <c r="I352" t="s">
        <v>76</v>
      </c>
      <c r="J352">
        <v>8</v>
      </c>
      <c r="K352">
        <v>410</v>
      </c>
      <c r="L352">
        <v>1161.06</v>
      </c>
      <c r="M352">
        <v>15253</v>
      </c>
      <c r="N352" t="s">
        <v>26</v>
      </c>
      <c r="O352" t="s">
        <v>62</v>
      </c>
      <c r="P352" t="s">
        <v>52</v>
      </c>
      <c r="Q352">
        <v>25</v>
      </c>
      <c r="R352">
        <v>93.72</v>
      </c>
    </row>
    <row r="353" spans="1:18" x14ac:dyDescent="0.3">
      <c r="A353" t="s">
        <v>767</v>
      </c>
      <c r="B353" t="s">
        <v>768</v>
      </c>
      <c r="C353" t="s">
        <v>97</v>
      </c>
      <c r="D353" t="s">
        <v>42</v>
      </c>
      <c r="E353" s="4">
        <v>43997</v>
      </c>
      <c r="F353" t="s">
        <v>65</v>
      </c>
      <c r="G353" t="s">
        <v>23</v>
      </c>
      <c r="H353" t="s">
        <v>55</v>
      </c>
      <c r="I353" t="s">
        <v>51</v>
      </c>
      <c r="J353">
        <v>5</v>
      </c>
      <c r="K353">
        <v>1087</v>
      </c>
      <c r="L353">
        <v>4383.1899999999996</v>
      </c>
      <c r="M353">
        <v>37495</v>
      </c>
      <c r="N353" t="s">
        <v>26</v>
      </c>
      <c r="O353" t="s">
        <v>62</v>
      </c>
      <c r="P353" t="s">
        <v>25</v>
      </c>
      <c r="Q353">
        <v>28</v>
      </c>
      <c r="R353">
        <v>201.48</v>
      </c>
    </row>
    <row r="354" spans="1:18" x14ac:dyDescent="0.3">
      <c r="A354" t="s">
        <v>769</v>
      </c>
      <c r="B354" t="s">
        <v>770</v>
      </c>
      <c r="C354" t="s">
        <v>97</v>
      </c>
      <c r="D354" t="s">
        <v>82</v>
      </c>
      <c r="E354" s="4">
        <v>42484</v>
      </c>
      <c r="F354" t="s">
        <v>43</v>
      </c>
      <c r="G354" t="s">
        <v>83</v>
      </c>
      <c r="H354" t="s">
        <v>24</v>
      </c>
      <c r="I354" t="s">
        <v>51</v>
      </c>
      <c r="J354">
        <v>5</v>
      </c>
      <c r="K354">
        <v>1344</v>
      </c>
      <c r="L354">
        <v>3831.42</v>
      </c>
      <c r="M354">
        <v>14622</v>
      </c>
      <c r="N354" t="s">
        <v>26</v>
      </c>
      <c r="O354" t="s">
        <v>27</v>
      </c>
      <c r="P354" t="s">
        <v>38</v>
      </c>
      <c r="Q354">
        <v>31</v>
      </c>
      <c r="R354">
        <v>141.82</v>
      </c>
    </row>
    <row r="355" spans="1:18" x14ac:dyDescent="0.3">
      <c r="A355" t="s">
        <v>771</v>
      </c>
      <c r="B355" t="s">
        <v>772</v>
      </c>
      <c r="C355" t="s">
        <v>20</v>
      </c>
      <c r="D355" t="s">
        <v>42</v>
      </c>
      <c r="E355" s="4">
        <v>42902</v>
      </c>
      <c r="F355" t="s">
        <v>60</v>
      </c>
      <c r="G355" t="s">
        <v>102</v>
      </c>
      <c r="H355" t="s">
        <v>34</v>
      </c>
      <c r="I355" t="s">
        <v>35</v>
      </c>
      <c r="J355">
        <v>8</v>
      </c>
      <c r="K355">
        <v>1364</v>
      </c>
      <c r="L355">
        <v>964.49</v>
      </c>
      <c r="M355">
        <v>3281</v>
      </c>
      <c r="N355" t="s">
        <v>36</v>
      </c>
      <c r="O355" t="s">
        <v>56</v>
      </c>
      <c r="P355" t="s">
        <v>25</v>
      </c>
      <c r="Q355">
        <v>22</v>
      </c>
      <c r="R355">
        <v>178.91</v>
      </c>
    </row>
    <row r="356" spans="1:18" x14ac:dyDescent="0.3">
      <c r="A356" t="s">
        <v>773</v>
      </c>
      <c r="B356" t="s">
        <v>774</v>
      </c>
      <c r="C356" t="s">
        <v>116</v>
      </c>
      <c r="D356" t="s">
        <v>109</v>
      </c>
      <c r="E356" s="4">
        <v>42240</v>
      </c>
      <c r="F356" t="s">
        <v>48</v>
      </c>
      <c r="G356" t="s">
        <v>83</v>
      </c>
      <c r="H356" t="s">
        <v>75</v>
      </c>
      <c r="I356" t="s">
        <v>51</v>
      </c>
      <c r="J356">
        <v>3</v>
      </c>
      <c r="K356">
        <v>1392</v>
      </c>
      <c r="L356">
        <v>2155.7800000000002</v>
      </c>
      <c r="M356">
        <v>12588</v>
      </c>
      <c r="N356" t="s">
        <v>26</v>
      </c>
      <c r="O356" t="s">
        <v>27</v>
      </c>
      <c r="P356" t="s">
        <v>45</v>
      </c>
      <c r="Q356">
        <v>14</v>
      </c>
      <c r="R356">
        <v>142.09</v>
      </c>
    </row>
    <row r="357" spans="1:18" x14ac:dyDescent="0.3">
      <c r="A357" t="s">
        <v>775</v>
      </c>
      <c r="B357" t="s">
        <v>776</v>
      </c>
      <c r="C357" t="s">
        <v>116</v>
      </c>
      <c r="D357" t="s">
        <v>82</v>
      </c>
      <c r="E357" s="4">
        <v>45081</v>
      </c>
      <c r="F357" t="s">
        <v>60</v>
      </c>
      <c r="G357" t="s">
        <v>83</v>
      </c>
      <c r="H357" t="s">
        <v>75</v>
      </c>
      <c r="I357" t="s">
        <v>92</v>
      </c>
      <c r="J357">
        <v>8</v>
      </c>
      <c r="K357">
        <v>838</v>
      </c>
      <c r="L357">
        <v>1700.84</v>
      </c>
      <c r="M357">
        <v>47668</v>
      </c>
      <c r="N357" t="s">
        <v>36</v>
      </c>
      <c r="O357" t="s">
        <v>27</v>
      </c>
      <c r="P357" t="s">
        <v>52</v>
      </c>
      <c r="Q357">
        <v>2</v>
      </c>
      <c r="R357">
        <v>211.16</v>
      </c>
    </row>
    <row r="358" spans="1:18" x14ac:dyDescent="0.3">
      <c r="A358" t="s">
        <v>777</v>
      </c>
      <c r="B358" t="s">
        <v>778</v>
      </c>
      <c r="C358" t="s">
        <v>20</v>
      </c>
      <c r="D358" t="s">
        <v>59</v>
      </c>
      <c r="E358" s="4">
        <v>42168</v>
      </c>
      <c r="F358" t="s">
        <v>65</v>
      </c>
      <c r="G358" t="s">
        <v>102</v>
      </c>
      <c r="H358" t="s">
        <v>34</v>
      </c>
      <c r="I358" t="s">
        <v>51</v>
      </c>
      <c r="J358">
        <v>4</v>
      </c>
      <c r="K358">
        <v>661</v>
      </c>
      <c r="L358">
        <v>2559.0700000000002</v>
      </c>
      <c r="M358">
        <v>27974</v>
      </c>
      <c r="N358" t="s">
        <v>26</v>
      </c>
      <c r="O358" t="s">
        <v>62</v>
      </c>
      <c r="P358" t="s">
        <v>45</v>
      </c>
      <c r="Q358">
        <v>21</v>
      </c>
      <c r="R358">
        <v>213.07</v>
      </c>
    </row>
    <row r="359" spans="1:18" x14ac:dyDescent="0.3">
      <c r="A359" t="s">
        <v>779</v>
      </c>
      <c r="B359" t="s">
        <v>780</v>
      </c>
      <c r="C359" t="s">
        <v>41</v>
      </c>
      <c r="D359" t="s">
        <v>42</v>
      </c>
      <c r="E359" s="4">
        <v>46056</v>
      </c>
      <c r="F359" t="s">
        <v>22</v>
      </c>
      <c r="G359" t="s">
        <v>83</v>
      </c>
      <c r="H359" t="s">
        <v>75</v>
      </c>
      <c r="I359" t="s">
        <v>34</v>
      </c>
      <c r="J359">
        <v>2</v>
      </c>
      <c r="K359">
        <v>1194</v>
      </c>
      <c r="L359">
        <v>4092.11</v>
      </c>
      <c r="M359">
        <v>43859</v>
      </c>
      <c r="N359" t="s">
        <v>26</v>
      </c>
      <c r="O359" t="s">
        <v>56</v>
      </c>
      <c r="P359" t="s">
        <v>38</v>
      </c>
      <c r="Q359">
        <v>14</v>
      </c>
      <c r="R359">
        <v>211.19</v>
      </c>
    </row>
    <row r="360" spans="1:18" x14ac:dyDescent="0.3">
      <c r="A360" t="s">
        <v>781</v>
      </c>
      <c r="B360" t="s">
        <v>782</v>
      </c>
      <c r="C360" t="s">
        <v>68</v>
      </c>
      <c r="D360" t="s">
        <v>59</v>
      </c>
      <c r="E360" s="4">
        <v>44722</v>
      </c>
      <c r="F360" t="s">
        <v>60</v>
      </c>
      <c r="G360" t="s">
        <v>33</v>
      </c>
      <c r="H360" t="s">
        <v>50</v>
      </c>
      <c r="I360" t="s">
        <v>34</v>
      </c>
      <c r="J360">
        <v>1</v>
      </c>
      <c r="K360">
        <v>188</v>
      </c>
      <c r="L360">
        <v>783.14</v>
      </c>
      <c r="M360">
        <v>37474</v>
      </c>
      <c r="N360" t="s">
        <v>61</v>
      </c>
      <c r="O360" t="s">
        <v>37</v>
      </c>
      <c r="P360" t="s">
        <v>45</v>
      </c>
      <c r="Q360">
        <v>38</v>
      </c>
      <c r="R360">
        <v>203.45</v>
      </c>
    </row>
    <row r="361" spans="1:18" x14ac:dyDescent="0.3">
      <c r="A361" t="s">
        <v>783</v>
      </c>
      <c r="B361" t="s">
        <v>784</v>
      </c>
      <c r="C361" t="s">
        <v>31</v>
      </c>
      <c r="D361" t="s">
        <v>32</v>
      </c>
      <c r="E361" s="4">
        <v>42030</v>
      </c>
      <c r="F361" t="s">
        <v>43</v>
      </c>
      <c r="G361" t="s">
        <v>44</v>
      </c>
      <c r="H361" t="s">
        <v>50</v>
      </c>
      <c r="I361" t="s">
        <v>35</v>
      </c>
      <c r="J361">
        <v>1</v>
      </c>
      <c r="K361">
        <v>795</v>
      </c>
      <c r="L361">
        <v>4158.3500000000004</v>
      </c>
      <c r="M361">
        <v>49501</v>
      </c>
      <c r="N361" t="s">
        <v>36</v>
      </c>
      <c r="O361" t="s">
        <v>27</v>
      </c>
      <c r="P361" t="s">
        <v>51</v>
      </c>
      <c r="Q361">
        <v>13</v>
      </c>
      <c r="R361">
        <v>169.87</v>
      </c>
    </row>
    <row r="362" spans="1:18" x14ac:dyDescent="0.3">
      <c r="A362" t="s">
        <v>785</v>
      </c>
      <c r="B362" t="s">
        <v>786</v>
      </c>
      <c r="C362" t="s">
        <v>97</v>
      </c>
      <c r="D362" t="s">
        <v>21</v>
      </c>
      <c r="E362" s="4">
        <v>44327</v>
      </c>
      <c r="F362" t="s">
        <v>22</v>
      </c>
      <c r="G362" t="s">
        <v>102</v>
      </c>
      <c r="H362" t="s">
        <v>55</v>
      </c>
      <c r="I362" t="s">
        <v>25</v>
      </c>
      <c r="J362">
        <v>1</v>
      </c>
      <c r="K362">
        <v>717</v>
      </c>
      <c r="L362">
        <v>1417.25</v>
      </c>
      <c r="M362">
        <v>33338</v>
      </c>
      <c r="N362" t="s">
        <v>26</v>
      </c>
      <c r="O362" t="s">
        <v>62</v>
      </c>
      <c r="P362" t="s">
        <v>51</v>
      </c>
      <c r="Q362">
        <v>46</v>
      </c>
      <c r="R362">
        <v>160.72</v>
      </c>
    </row>
    <row r="363" spans="1:18" x14ac:dyDescent="0.3">
      <c r="A363" t="s">
        <v>787</v>
      </c>
      <c r="B363" t="s">
        <v>788</v>
      </c>
      <c r="C363" t="s">
        <v>79</v>
      </c>
      <c r="D363" t="s">
        <v>21</v>
      </c>
      <c r="E363" s="4">
        <v>43048</v>
      </c>
      <c r="F363" t="s">
        <v>48</v>
      </c>
      <c r="G363" t="s">
        <v>83</v>
      </c>
      <c r="H363" t="s">
        <v>55</v>
      </c>
      <c r="I363" t="s">
        <v>34</v>
      </c>
      <c r="J363">
        <v>2</v>
      </c>
      <c r="K363">
        <v>380</v>
      </c>
      <c r="L363">
        <v>2929.84</v>
      </c>
      <c r="M363">
        <v>14462</v>
      </c>
      <c r="N363" t="s">
        <v>36</v>
      </c>
      <c r="O363" t="s">
        <v>56</v>
      </c>
      <c r="P363" t="s">
        <v>45</v>
      </c>
      <c r="Q363">
        <v>9</v>
      </c>
      <c r="R363">
        <v>17.260000000000002</v>
      </c>
    </row>
    <row r="364" spans="1:18" x14ac:dyDescent="0.3">
      <c r="A364" t="s">
        <v>789</v>
      </c>
      <c r="B364" t="s">
        <v>790</v>
      </c>
      <c r="C364" t="s">
        <v>97</v>
      </c>
      <c r="D364" t="s">
        <v>42</v>
      </c>
      <c r="E364" s="4">
        <v>44996</v>
      </c>
      <c r="F364" t="s">
        <v>69</v>
      </c>
      <c r="G364" t="s">
        <v>83</v>
      </c>
      <c r="H364" t="s">
        <v>70</v>
      </c>
      <c r="I364" t="s">
        <v>92</v>
      </c>
      <c r="J364">
        <v>5</v>
      </c>
      <c r="K364">
        <v>802</v>
      </c>
      <c r="L364">
        <v>3006.57</v>
      </c>
      <c r="M364">
        <v>25925</v>
      </c>
      <c r="N364" t="s">
        <v>26</v>
      </c>
      <c r="O364" t="s">
        <v>62</v>
      </c>
      <c r="P364" t="s">
        <v>38</v>
      </c>
      <c r="Q364">
        <v>31</v>
      </c>
      <c r="R364">
        <v>224.22</v>
      </c>
    </row>
    <row r="365" spans="1:18" x14ac:dyDescent="0.3">
      <c r="A365" t="s">
        <v>791</v>
      </c>
      <c r="B365" t="s">
        <v>792</v>
      </c>
      <c r="C365" t="s">
        <v>68</v>
      </c>
      <c r="D365" t="s">
        <v>42</v>
      </c>
      <c r="E365" s="4">
        <v>44676</v>
      </c>
      <c r="F365" t="s">
        <v>22</v>
      </c>
      <c r="G365" t="s">
        <v>23</v>
      </c>
      <c r="H365" t="s">
        <v>34</v>
      </c>
      <c r="I365" t="s">
        <v>51</v>
      </c>
      <c r="J365">
        <v>4</v>
      </c>
      <c r="K365">
        <v>1118</v>
      </c>
      <c r="L365">
        <v>2441.08</v>
      </c>
      <c r="M365">
        <v>33379</v>
      </c>
      <c r="N365" t="s">
        <v>26</v>
      </c>
      <c r="O365" t="s">
        <v>62</v>
      </c>
      <c r="P365" t="s">
        <v>25</v>
      </c>
      <c r="Q365">
        <v>35</v>
      </c>
      <c r="R365">
        <v>153.26</v>
      </c>
    </row>
    <row r="366" spans="1:18" x14ac:dyDescent="0.3">
      <c r="A366" t="s">
        <v>793</v>
      </c>
      <c r="B366" t="s">
        <v>794</v>
      </c>
      <c r="C366" t="s">
        <v>20</v>
      </c>
      <c r="D366" t="s">
        <v>42</v>
      </c>
      <c r="E366" s="4">
        <v>41857</v>
      </c>
      <c r="F366" t="s">
        <v>43</v>
      </c>
      <c r="G366" t="s">
        <v>33</v>
      </c>
      <c r="H366" t="s">
        <v>24</v>
      </c>
      <c r="I366" t="s">
        <v>76</v>
      </c>
      <c r="J366">
        <v>6</v>
      </c>
      <c r="K366">
        <v>535</v>
      </c>
      <c r="L366">
        <v>4526.1899999999996</v>
      </c>
      <c r="M366">
        <v>9059</v>
      </c>
      <c r="N366" t="s">
        <v>61</v>
      </c>
      <c r="O366" t="s">
        <v>27</v>
      </c>
      <c r="P366" t="s">
        <v>38</v>
      </c>
      <c r="Q366">
        <v>31</v>
      </c>
      <c r="R366">
        <v>200.85</v>
      </c>
    </row>
    <row r="367" spans="1:18" x14ac:dyDescent="0.3">
      <c r="A367" t="s">
        <v>795</v>
      </c>
      <c r="B367" t="s">
        <v>796</v>
      </c>
      <c r="C367" t="s">
        <v>97</v>
      </c>
      <c r="D367" t="s">
        <v>32</v>
      </c>
      <c r="E367" s="4">
        <v>45391</v>
      </c>
      <c r="F367" t="s">
        <v>48</v>
      </c>
      <c r="G367" t="s">
        <v>83</v>
      </c>
      <c r="H367" t="s">
        <v>50</v>
      </c>
      <c r="I367" t="s">
        <v>76</v>
      </c>
      <c r="J367">
        <v>2</v>
      </c>
      <c r="K367">
        <v>139</v>
      </c>
      <c r="L367">
        <v>105.21</v>
      </c>
      <c r="M367">
        <v>44058</v>
      </c>
      <c r="N367" t="s">
        <v>26</v>
      </c>
      <c r="O367" t="s">
        <v>56</v>
      </c>
      <c r="P367" t="s">
        <v>38</v>
      </c>
      <c r="Q367">
        <v>30</v>
      </c>
      <c r="R367">
        <v>157.66</v>
      </c>
    </row>
    <row r="368" spans="1:18" x14ac:dyDescent="0.3">
      <c r="A368" t="s">
        <v>797</v>
      </c>
      <c r="B368" t="s">
        <v>798</v>
      </c>
      <c r="C368" t="s">
        <v>97</v>
      </c>
      <c r="D368" t="s">
        <v>32</v>
      </c>
      <c r="E368" s="4">
        <v>43272</v>
      </c>
      <c r="F368" t="s">
        <v>22</v>
      </c>
      <c r="G368" t="s">
        <v>33</v>
      </c>
      <c r="H368" t="s">
        <v>50</v>
      </c>
      <c r="I368" t="s">
        <v>35</v>
      </c>
      <c r="J368">
        <v>1</v>
      </c>
      <c r="K368">
        <v>1264</v>
      </c>
      <c r="L368">
        <v>2102.7800000000002</v>
      </c>
      <c r="M368">
        <v>42334</v>
      </c>
      <c r="N368" t="s">
        <v>36</v>
      </c>
      <c r="O368" t="s">
        <v>37</v>
      </c>
      <c r="P368" t="s">
        <v>51</v>
      </c>
      <c r="Q368">
        <v>36</v>
      </c>
      <c r="R368">
        <v>242.46</v>
      </c>
    </row>
    <row r="369" spans="1:18" x14ac:dyDescent="0.3">
      <c r="A369" t="s">
        <v>799</v>
      </c>
      <c r="B369" t="s">
        <v>800</v>
      </c>
      <c r="C369" t="s">
        <v>20</v>
      </c>
      <c r="D369" t="s">
        <v>21</v>
      </c>
      <c r="E369" s="4">
        <v>44259</v>
      </c>
      <c r="F369" t="s">
        <v>69</v>
      </c>
      <c r="G369" t="s">
        <v>33</v>
      </c>
      <c r="H369" t="s">
        <v>55</v>
      </c>
      <c r="I369" t="s">
        <v>25</v>
      </c>
      <c r="J369">
        <v>6</v>
      </c>
      <c r="K369">
        <v>26</v>
      </c>
      <c r="L369">
        <v>2487.46</v>
      </c>
      <c r="M369">
        <v>38074</v>
      </c>
      <c r="N369" t="s">
        <v>61</v>
      </c>
      <c r="O369" t="s">
        <v>62</v>
      </c>
      <c r="P369" t="s">
        <v>45</v>
      </c>
      <c r="Q369">
        <v>27</v>
      </c>
      <c r="R369">
        <v>154.25</v>
      </c>
    </row>
    <row r="370" spans="1:18" x14ac:dyDescent="0.3">
      <c r="A370" t="s">
        <v>801</v>
      </c>
      <c r="B370" t="s">
        <v>802</v>
      </c>
      <c r="C370" t="s">
        <v>41</v>
      </c>
      <c r="D370" t="s">
        <v>82</v>
      </c>
      <c r="E370" s="4">
        <v>43261</v>
      </c>
      <c r="F370" t="s">
        <v>69</v>
      </c>
      <c r="G370" t="s">
        <v>44</v>
      </c>
      <c r="H370" t="s">
        <v>24</v>
      </c>
      <c r="I370" t="s">
        <v>92</v>
      </c>
      <c r="J370">
        <v>1</v>
      </c>
      <c r="K370">
        <v>39</v>
      </c>
      <c r="L370">
        <v>2644.58</v>
      </c>
      <c r="M370">
        <v>1903</v>
      </c>
      <c r="N370" t="s">
        <v>26</v>
      </c>
      <c r="O370" t="s">
        <v>37</v>
      </c>
      <c r="P370" t="s">
        <v>52</v>
      </c>
      <c r="Q370">
        <v>22</v>
      </c>
      <c r="R370">
        <v>118.77</v>
      </c>
    </row>
    <row r="371" spans="1:18" x14ac:dyDescent="0.3">
      <c r="A371" t="s">
        <v>803</v>
      </c>
      <c r="B371" t="s">
        <v>804</v>
      </c>
      <c r="C371" t="s">
        <v>116</v>
      </c>
      <c r="D371" t="s">
        <v>32</v>
      </c>
      <c r="E371" s="4">
        <v>40859</v>
      </c>
      <c r="F371" t="s">
        <v>60</v>
      </c>
      <c r="G371" t="s">
        <v>23</v>
      </c>
      <c r="H371" t="s">
        <v>70</v>
      </c>
      <c r="I371" t="s">
        <v>34</v>
      </c>
      <c r="J371">
        <v>1</v>
      </c>
      <c r="K371">
        <v>359</v>
      </c>
      <c r="L371">
        <v>4593.12</v>
      </c>
      <c r="M371">
        <v>25294</v>
      </c>
      <c r="N371" t="s">
        <v>61</v>
      </c>
      <c r="O371" t="s">
        <v>37</v>
      </c>
      <c r="P371" t="s">
        <v>52</v>
      </c>
      <c r="Q371">
        <v>45</v>
      </c>
      <c r="R371">
        <v>98.59</v>
      </c>
    </row>
    <row r="372" spans="1:18" x14ac:dyDescent="0.3">
      <c r="A372" t="s">
        <v>805</v>
      </c>
      <c r="B372" t="s">
        <v>806</v>
      </c>
      <c r="C372" t="s">
        <v>31</v>
      </c>
      <c r="D372" t="s">
        <v>109</v>
      </c>
      <c r="E372" s="4">
        <v>43866</v>
      </c>
      <c r="F372" t="s">
        <v>22</v>
      </c>
      <c r="G372" t="s">
        <v>23</v>
      </c>
      <c r="H372" t="s">
        <v>50</v>
      </c>
      <c r="I372" t="s">
        <v>92</v>
      </c>
      <c r="J372">
        <v>6</v>
      </c>
      <c r="K372">
        <v>842</v>
      </c>
      <c r="L372">
        <v>1797.53</v>
      </c>
      <c r="M372">
        <v>6436</v>
      </c>
      <c r="N372" t="s">
        <v>61</v>
      </c>
      <c r="O372" t="s">
        <v>56</v>
      </c>
      <c r="P372" t="s">
        <v>38</v>
      </c>
      <c r="Q372">
        <v>30</v>
      </c>
      <c r="R372">
        <v>66.349999999999994</v>
      </c>
    </row>
    <row r="373" spans="1:18" x14ac:dyDescent="0.3">
      <c r="A373" t="s">
        <v>807</v>
      </c>
      <c r="B373" t="s">
        <v>808</v>
      </c>
      <c r="C373" t="s">
        <v>31</v>
      </c>
      <c r="D373" t="s">
        <v>42</v>
      </c>
      <c r="E373" s="4">
        <v>43413</v>
      </c>
      <c r="F373" t="s">
        <v>48</v>
      </c>
      <c r="G373" t="s">
        <v>83</v>
      </c>
      <c r="H373" t="s">
        <v>24</v>
      </c>
      <c r="I373" t="s">
        <v>51</v>
      </c>
      <c r="J373">
        <v>1</v>
      </c>
      <c r="K373">
        <v>1224</v>
      </c>
      <c r="L373">
        <v>2249.7600000000002</v>
      </c>
      <c r="M373">
        <v>34228</v>
      </c>
      <c r="N373" t="s">
        <v>36</v>
      </c>
      <c r="O373" t="s">
        <v>27</v>
      </c>
      <c r="P373" t="s">
        <v>28</v>
      </c>
      <c r="Q373">
        <v>10</v>
      </c>
      <c r="R373">
        <v>187.09</v>
      </c>
    </row>
    <row r="374" spans="1:18" x14ac:dyDescent="0.3">
      <c r="A374" t="s">
        <v>809</v>
      </c>
      <c r="B374" t="s">
        <v>810</v>
      </c>
      <c r="C374" t="s">
        <v>79</v>
      </c>
      <c r="D374" t="s">
        <v>59</v>
      </c>
      <c r="E374" s="4">
        <v>42487</v>
      </c>
      <c r="F374" t="s">
        <v>60</v>
      </c>
      <c r="G374" t="s">
        <v>102</v>
      </c>
      <c r="H374" t="s">
        <v>70</v>
      </c>
      <c r="I374" t="s">
        <v>51</v>
      </c>
      <c r="J374">
        <v>6</v>
      </c>
      <c r="K374">
        <v>438</v>
      </c>
      <c r="L374">
        <v>1452.79</v>
      </c>
      <c r="M374">
        <v>3603</v>
      </c>
      <c r="N374" t="s">
        <v>36</v>
      </c>
      <c r="O374" t="s">
        <v>56</v>
      </c>
      <c r="P374" t="s">
        <v>51</v>
      </c>
      <c r="Q374">
        <v>22</v>
      </c>
      <c r="R374">
        <v>90.04</v>
      </c>
    </row>
    <row r="375" spans="1:18" x14ac:dyDescent="0.3">
      <c r="A375" t="s">
        <v>811</v>
      </c>
      <c r="B375" t="s">
        <v>812</v>
      </c>
      <c r="C375" t="s">
        <v>68</v>
      </c>
      <c r="D375" t="s">
        <v>82</v>
      </c>
      <c r="E375" s="4">
        <v>41188</v>
      </c>
      <c r="F375" t="s">
        <v>69</v>
      </c>
      <c r="G375" t="s">
        <v>23</v>
      </c>
      <c r="H375" t="s">
        <v>50</v>
      </c>
      <c r="I375" t="s">
        <v>34</v>
      </c>
      <c r="J375">
        <v>0</v>
      </c>
      <c r="K375">
        <v>1375</v>
      </c>
      <c r="L375">
        <v>217.47</v>
      </c>
      <c r="M375">
        <v>17341</v>
      </c>
      <c r="N375" t="s">
        <v>26</v>
      </c>
      <c r="O375" t="s">
        <v>27</v>
      </c>
      <c r="P375" t="s">
        <v>25</v>
      </c>
      <c r="Q375">
        <v>45</v>
      </c>
      <c r="R375">
        <v>232.34</v>
      </c>
    </row>
    <row r="376" spans="1:18" x14ac:dyDescent="0.3">
      <c r="A376" t="s">
        <v>813</v>
      </c>
      <c r="B376" t="s">
        <v>814</v>
      </c>
      <c r="C376" t="s">
        <v>116</v>
      </c>
      <c r="D376" t="s">
        <v>109</v>
      </c>
      <c r="E376" s="4">
        <v>45361</v>
      </c>
      <c r="F376" t="s">
        <v>65</v>
      </c>
      <c r="G376" t="s">
        <v>83</v>
      </c>
      <c r="H376" t="s">
        <v>34</v>
      </c>
      <c r="I376" t="s">
        <v>92</v>
      </c>
      <c r="J376">
        <v>6</v>
      </c>
      <c r="K376">
        <v>106</v>
      </c>
      <c r="L376">
        <v>4229.5600000000004</v>
      </c>
      <c r="M376">
        <v>31264</v>
      </c>
      <c r="N376" t="s">
        <v>61</v>
      </c>
      <c r="O376" t="s">
        <v>37</v>
      </c>
      <c r="P376" t="s">
        <v>52</v>
      </c>
      <c r="Q376">
        <v>49</v>
      </c>
      <c r="R376">
        <v>223.14</v>
      </c>
    </row>
    <row r="377" spans="1:18" x14ac:dyDescent="0.3">
      <c r="A377" t="s">
        <v>815</v>
      </c>
      <c r="B377" t="s">
        <v>816</v>
      </c>
      <c r="C377" t="s">
        <v>31</v>
      </c>
      <c r="D377" t="s">
        <v>82</v>
      </c>
      <c r="E377" s="4">
        <v>41278</v>
      </c>
      <c r="F377" t="s">
        <v>65</v>
      </c>
      <c r="G377" t="s">
        <v>102</v>
      </c>
      <c r="H377" t="s">
        <v>55</v>
      </c>
      <c r="I377" t="s">
        <v>92</v>
      </c>
      <c r="J377">
        <v>2</v>
      </c>
      <c r="K377">
        <v>88</v>
      </c>
      <c r="L377">
        <v>753.58</v>
      </c>
      <c r="M377">
        <v>4176</v>
      </c>
      <c r="N377" t="s">
        <v>61</v>
      </c>
      <c r="O377" t="s">
        <v>62</v>
      </c>
      <c r="P377" t="s">
        <v>25</v>
      </c>
      <c r="Q377">
        <v>14</v>
      </c>
      <c r="R377">
        <v>154.1</v>
      </c>
    </row>
    <row r="378" spans="1:18" x14ac:dyDescent="0.3">
      <c r="A378" t="s">
        <v>817</v>
      </c>
      <c r="B378" t="s">
        <v>818</v>
      </c>
      <c r="C378" t="s">
        <v>68</v>
      </c>
      <c r="D378" t="s">
        <v>109</v>
      </c>
      <c r="E378" s="4">
        <v>42792</v>
      </c>
      <c r="F378" t="s">
        <v>60</v>
      </c>
      <c r="G378" t="s">
        <v>49</v>
      </c>
      <c r="H378" t="s">
        <v>24</v>
      </c>
      <c r="I378" t="s">
        <v>92</v>
      </c>
      <c r="J378">
        <v>2</v>
      </c>
      <c r="K378">
        <v>773</v>
      </c>
      <c r="L378">
        <v>3554.66</v>
      </c>
      <c r="M378">
        <v>34124</v>
      </c>
      <c r="N378" t="s">
        <v>26</v>
      </c>
      <c r="O378" t="s">
        <v>62</v>
      </c>
      <c r="P378" t="s">
        <v>51</v>
      </c>
      <c r="Q378">
        <v>43</v>
      </c>
      <c r="R378">
        <v>82.96</v>
      </c>
    </row>
    <row r="379" spans="1:18" x14ac:dyDescent="0.3">
      <c r="A379" t="s">
        <v>819</v>
      </c>
      <c r="B379" t="s">
        <v>820</v>
      </c>
      <c r="C379" t="s">
        <v>79</v>
      </c>
      <c r="D379" t="s">
        <v>109</v>
      </c>
      <c r="E379" s="4">
        <v>45710</v>
      </c>
      <c r="F379" t="s">
        <v>48</v>
      </c>
      <c r="G379" t="s">
        <v>23</v>
      </c>
      <c r="H379" t="s">
        <v>70</v>
      </c>
      <c r="I379" t="s">
        <v>34</v>
      </c>
      <c r="J379">
        <v>1</v>
      </c>
      <c r="K379">
        <v>902</v>
      </c>
      <c r="L379">
        <v>4161.12</v>
      </c>
      <c r="M379">
        <v>10016</v>
      </c>
      <c r="N379" t="s">
        <v>61</v>
      </c>
      <c r="O379" t="s">
        <v>37</v>
      </c>
      <c r="P379" t="s">
        <v>28</v>
      </c>
      <c r="Q379">
        <v>45</v>
      </c>
      <c r="R379">
        <v>5.46</v>
      </c>
    </row>
    <row r="380" spans="1:18" x14ac:dyDescent="0.3">
      <c r="A380" t="s">
        <v>821</v>
      </c>
      <c r="B380" t="s">
        <v>822</v>
      </c>
      <c r="C380" t="s">
        <v>41</v>
      </c>
      <c r="D380" t="s">
        <v>82</v>
      </c>
      <c r="E380" s="4">
        <v>44871</v>
      </c>
      <c r="F380" t="s">
        <v>48</v>
      </c>
      <c r="G380" t="s">
        <v>44</v>
      </c>
      <c r="H380" t="s">
        <v>24</v>
      </c>
      <c r="I380" t="s">
        <v>35</v>
      </c>
      <c r="J380">
        <v>8</v>
      </c>
      <c r="K380">
        <v>819</v>
      </c>
      <c r="L380">
        <v>3377.78</v>
      </c>
      <c r="M380">
        <v>45298</v>
      </c>
      <c r="N380" t="s">
        <v>36</v>
      </c>
      <c r="O380" t="s">
        <v>56</v>
      </c>
      <c r="P380" t="s">
        <v>51</v>
      </c>
      <c r="Q380">
        <v>5</v>
      </c>
      <c r="R380">
        <v>143.74</v>
      </c>
    </row>
    <row r="381" spans="1:18" x14ac:dyDescent="0.3">
      <c r="A381" t="s">
        <v>823</v>
      </c>
      <c r="B381" t="s">
        <v>824</v>
      </c>
      <c r="C381" t="s">
        <v>116</v>
      </c>
      <c r="D381" t="s">
        <v>32</v>
      </c>
      <c r="E381" s="4">
        <v>44907</v>
      </c>
      <c r="F381" t="s">
        <v>60</v>
      </c>
      <c r="G381" t="s">
        <v>44</v>
      </c>
      <c r="H381" t="s">
        <v>55</v>
      </c>
      <c r="I381" t="s">
        <v>76</v>
      </c>
      <c r="J381">
        <v>2</v>
      </c>
      <c r="K381">
        <v>84</v>
      </c>
      <c r="L381">
        <v>3065.2</v>
      </c>
      <c r="M381">
        <v>33791</v>
      </c>
      <c r="N381" t="s">
        <v>61</v>
      </c>
      <c r="O381" t="s">
        <v>56</v>
      </c>
      <c r="P381" t="s">
        <v>28</v>
      </c>
      <c r="Q381">
        <v>36</v>
      </c>
      <c r="R381">
        <v>125.03</v>
      </c>
    </row>
    <row r="382" spans="1:18" x14ac:dyDescent="0.3">
      <c r="A382" t="s">
        <v>825</v>
      </c>
      <c r="B382" t="s">
        <v>826</v>
      </c>
      <c r="C382" t="s">
        <v>116</v>
      </c>
      <c r="D382" t="s">
        <v>109</v>
      </c>
      <c r="E382" s="4">
        <v>42659</v>
      </c>
      <c r="F382" t="s">
        <v>65</v>
      </c>
      <c r="G382" t="s">
        <v>102</v>
      </c>
      <c r="H382" t="s">
        <v>70</v>
      </c>
      <c r="I382" t="s">
        <v>51</v>
      </c>
      <c r="J382">
        <v>1</v>
      </c>
      <c r="K382">
        <v>909</v>
      </c>
      <c r="L382">
        <v>749</v>
      </c>
      <c r="M382">
        <v>38068</v>
      </c>
      <c r="N382" t="s">
        <v>61</v>
      </c>
      <c r="O382" t="s">
        <v>62</v>
      </c>
      <c r="P382" t="s">
        <v>45</v>
      </c>
      <c r="Q382">
        <v>42</v>
      </c>
      <c r="R382">
        <v>210.24</v>
      </c>
    </row>
    <row r="383" spans="1:18" x14ac:dyDescent="0.3">
      <c r="A383" t="s">
        <v>827</v>
      </c>
      <c r="B383" t="s">
        <v>828</v>
      </c>
      <c r="C383" t="s">
        <v>116</v>
      </c>
      <c r="D383" t="s">
        <v>21</v>
      </c>
      <c r="E383" s="4">
        <v>41277</v>
      </c>
      <c r="F383" t="s">
        <v>60</v>
      </c>
      <c r="G383" t="s">
        <v>23</v>
      </c>
      <c r="H383" t="s">
        <v>75</v>
      </c>
      <c r="I383" t="s">
        <v>51</v>
      </c>
      <c r="J383">
        <v>7</v>
      </c>
      <c r="K383">
        <v>83</v>
      </c>
      <c r="L383">
        <v>1299.81</v>
      </c>
      <c r="M383">
        <v>44392</v>
      </c>
      <c r="N383" t="s">
        <v>61</v>
      </c>
      <c r="O383" t="s">
        <v>56</v>
      </c>
      <c r="P383" t="s">
        <v>45</v>
      </c>
      <c r="Q383">
        <v>34</v>
      </c>
      <c r="R383">
        <v>248.46</v>
      </c>
    </row>
    <row r="384" spans="1:18" x14ac:dyDescent="0.3">
      <c r="A384" t="s">
        <v>829</v>
      </c>
      <c r="B384" t="s">
        <v>830</v>
      </c>
      <c r="C384" t="s">
        <v>20</v>
      </c>
      <c r="D384" t="s">
        <v>109</v>
      </c>
      <c r="E384" s="4">
        <v>44241</v>
      </c>
      <c r="F384" t="s">
        <v>22</v>
      </c>
      <c r="G384" t="s">
        <v>33</v>
      </c>
      <c r="H384" t="s">
        <v>55</v>
      </c>
      <c r="I384" t="s">
        <v>25</v>
      </c>
      <c r="J384">
        <v>8</v>
      </c>
      <c r="K384">
        <v>328</v>
      </c>
      <c r="L384">
        <v>3236.24</v>
      </c>
      <c r="M384">
        <v>19648</v>
      </c>
      <c r="N384" t="s">
        <v>26</v>
      </c>
      <c r="O384" t="s">
        <v>56</v>
      </c>
      <c r="P384" t="s">
        <v>25</v>
      </c>
      <c r="Q384">
        <v>11</v>
      </c>
      <c r="R384">
        <v>199.83</v>
      </c>
    </row>
    <row r="385" spans="1:18" x14ac:dyDescent="0.3">
      <c r="A385" t="s">
        <v>831</v>
      </c>
      <c r="B385" t="s">
        <v>832</v>
      </c>
      <c r="C385" t="s">
        <v>31</v>
      </c>
      <c r="D385" t="s">
        <v>21</v>
      </c>
      <c r="E385" s="4">
        <v>41178</v>
      </c>
      <c r="F385" t="s">
        <v>48</v>
      </c>
      <c r="G385" t="s">
        <v>33</v>
      </c>
      <c r="H385" t="s">
        <v>24</v>
      </c>
      <c r="I385" t="s">
        <v>34</v>
      </c>
      <c r="J385">
        <v>1</v>
      </c>
      <c r="K385">
        <v>383</v>
      </c>
      <c r="L385">
        <v>2947.19</v>
      </c>
      <c r="M385">
        <v>3549</v>
      </c>
      <c r="N385" t="s">
        <v>26</v>
      </c>
      <c r="O385" t="s">
        <v>62</v>
      </c>
      <c r="P385" t="s">
        <v>38</v>
      </c>
      <c r="Q385">
        <v>4</v>
      </c>
      <c r="R385">
        <v>51.17</v>
      </c>
    </row>
    <row r="386" spans="1:18" x14ac:dyDescent="0.3">
      <c r="A386" t="s">
        <v>833</v>
      </c>
      <c r="B386" t="s">
        <v>834</v>
      </c>
      <c r="C386" t="s">
        <v>68</v>
      </c>
      <c r="D386" t="s">
        <v>109</v>
      </c>
      <c r="E386" s="4">
        <v>41374</v>
      </c>
      <c r="F386" t="s">
        <v>48</v>
      </c>
      <c r="G386" t="s">
        <v>83</v>
      </c>
      <c r="H386" t="s">
        <v>55</v>
      </c>
      <c r="I386" t="s">
        <v>34</v>
      </c>
      <c r="J386">
        <v>3</v>
      </c>
      <c r="K386">
        <v>1114</v>
      </c>
      <c r="L386">
        <v>1204.77</v>
      </c>
      <c r="M386">
        <v>21208</v>
      </c>
      <c r="N386" t="s">
        <v>36</v>
      </c>
      <c r="O386" t="s">
        <v>37</v>
      </c>
      <c r="P386" t="s">
        <v>38</v>
      </c>
      <c r="Q386">
        <v>44</v>
      </c>
      <c r="R386">
        <v>130.54</v>
      </c>
    </row>
    <row r="387" spans="1:18" x14ac:dyDescent="0.3">
      <c r="A387" t="s">
        <v>835</v>
      </c>
      <c r="B387" t="s">
        <v>836</v>
      </c>
      <c r="C387" t="s">
        <v>31</v>
      </c>
      <c r="D387" t="s">
        <v>82</v>
      </c>
      <c r="E387" s="4">
        <v>43461</v>
      </c>
      <c r="F387" t="s">
        <v>60</v>
      </c>
      <c r="G387" t="s">
        <v>44</v>
      </c>
      <c r="H387" t="s">
        <v>34</v>
      </c>
      <c r="I387" t="s">
        <v>51</v>
      </c>
      <c r="J387">
        <v>2</v>
      </c>
      <c r="K387">
        <v>840</v>
      </c>
      <c r="L387">
        <v>1965.38</v>
      </c>
      <c r="M387">
        <v>26080</v>
      </c>
      <c r="N387" t="s">
        <v>36</v>
      </c>
      <c r="O387" t="s">
        <v>37</v>
      </c>
      <c r="P387" t="s">
        <v>38</v>
      </c>
      <c r="Q387">
        <v>38</v>
      </c>
      <c r="R387">
        <v>178.95</v>
      </c>
    </row>
    <row r="388" spans="1:18" x14ac:dyDescent="0.3">
      <c r="A388" t="s">
        <v>837</v>
      </c>
      <c r="B388" t="s">
        <v>838</v>
      </c>
      <c r="C388" t="s">
        <v>79</v>
      </c>
      <c r="D388" t="s">
        <v>109</v>
      </c>
      <c r="E388" s="4">
        <v>41676</v>
      </c>
      <c r="F388" t="s">
        <v>60</v>
      </c>
      <c r="G388" t="s">
        <v>83</v>
      </c>
      <c r="H388" t="s">
        <v>34</v>
      </c>
      <c r="I388" t="s">
        <v>76</v>
      </c>
      <c r="J388">
        <v>2</v>
      </c>
      <c r="K388">
        <v>543</v>
      </c>
      <c r="L388">
        <v>925.43</v>
      </c>
      <c r="M388">
        <v>49860</v>
      </c>
      <c r="N388" t="s">
        <v>36</v>
      </c>
      <c r="O388" t="s">
        <v>56</v>
      </c>
      <c r="P388" t="s">
        <v>28</v>
      </c>
      <c r="Q388">
        <v>1</v>
      </c>
      <c r="R388">
        <v>18.22</v>
      </c>
    </row>
    <row r="389" spans="1:18" x14ac:dyDescent="0.3">
      <c r="A389" t="s">
        <v>839</v>
      </c>
      <c r="B389" t="s">
        <v>840</v>
      </c>
      <c r="C389" t="s">
        <v>31</v>
      </c>
      <c r="D389" t="s">
        <v>59</v>
      </c>
      <c r="E389" s="4">
        <v>45966</v>
      </c>
      <c r="F389" t="s">
        <v>43</v>
      </c>
      <c r="G389" t="s">
        <v>102</v>
      </c>
      <c r="H389" t="s">
        <v>50</v>
      </c>
      <c r="I389" t="s">
        <v>76</v>
      </c>
      <c r="J389">
        <v>0</v>
      </c>
      <c r="K389">
        <v>569</v>
      </c>
      <c r="L389">
        <v>3137.81</v>
      </c>
      <c r="M389">
        <v>26463</v>
      </c>
      <c r="N389" t="s">
        <v>36</v>
      </c>
      <c r="O389" t="s">
        <v>37</v>
      </c>
      <c r="P389" t="s">
        <v>25</v>
      </c>
      <c r="Q389">
        <v>12</v>
      </c>
      <c r="R389">
        <v>33.1</v>
      </c>
    </row>
    <row r="390" spans="1:18" x14ac:dyDescent="0.3">
      <c r="A390" t="s">
        <v>841</v>
      </c>
      <c r="B390" t="s">
        <v>842</v>
      </c>
      <c r="C390" t="s">
        <v>41</v>
      </c>
      <c r="D390" t="s">
        <v>109</v>
      </c>
      <c r="E390" s="4">
        <v>44042</v>
      </c>
      <c r="F390" t="s">
        <v>60</v>
      </c>
      <c r="G390" t="s">
        <v>102</v>
      </c>
      <c r="H390" t="s">
        <v>24</v>
      </c>
      <c r="I390" t="s">
        <v>76</v>
      </c>
      <c r="J390">
        <v>6</v>
      </c>
      <c r="K390">
        <v>231</v>
      </c>
      <c r="L390">
        <v>2590.59</v>
      </c>
      <c r="M390">
        <v>173</v>
      </c>
      <c r="N390" t="s">
        <v>61</v>
      </c>
      <c r="O390" t="s">
        <v>56</v>
      </c>
      <c r="P390" t="s">
        <v>45</v>
      </c>
      <c r="Q390">
        <v>50</v>
      </c>
      <c r="R390">
        <v>246.95</v>
      </c>
    </row>
    <row r="391" spans="1:18" x14ac:dyDescent="0.3">
      <c r="A391" t="s">
        <v>843</v>
      </c>
      <c r="B391" t="s">
        <v>844</v>
      </c>
      <c r="C391" t="s">
        <v>68</v>
      </c>
      <c r="D391" t="s">
        <v>109</v>
      </c>
      <c r="E391" s="4">
        <v>45498</v>
      </c>
      <c r="F391" t="s">
        <v>22</v>
      </c>
      <c r="G391" t="s">
        <v>49</v>
      </c>
      <c r="H391" t="s">
        <v>24</v>
      </c>
      <c r="I391" t="s">
        <v>35</v>
      </c>
      <c r="J391">
        <v>1</v>
      </c>
      <c r="K391">
        <v>737</v>
      </c>
      <c r="L391">
        <v>1312.32</v>
      </c>
      <c r="M391">
        <v>2953</v>
      </c>
      <c r="N391" t="s">
        <v>61</v>
      </c>
      <c r="O391" t="s">
        <v>27</v>
      </c>
      <c r="P391" t="s">
        <v>38</v>
      </c>
      <c r="Q391">
        <v>48</v>
      </c>
      <c r="R391">
        <v>210</v>
      </c>
    </row>
    <row r="392" spans="1:18" x14ac:dyDescent="0.3">
      <c r="A392" t="s">
        <v>845</v>
      </c>
      <c r="B392" t="s">
        <v>846</v>
      </c>
      <c r="C392" t="s">
        <v>68</v>
      </c>
      <c r="D392" t="s">
        <v>59</v>
      </c>
      <c r="E392" s="4">
        <v>44406</v>
      </c>
      <c r="F392" t="s">
        <v>22</v>
      </c>
      <c r="G392" t="s">
        <v>44</v>
      </c>
      <c r="H392" t="s">
        <v>24</v>
      </c>
      <c r="I392" t="s">
        <v>34</v>
      </c>
      <c r="J392">
        <v>8</v>
      </c>
      <c r="K392">
        <v>452</v>
      </c>
      <c r="L392">
        <v>879.84</v>
      </c>
      <c r="M392">
        <v>27732</v>
      </c>
      <c r="N392" t="s">
        <v>36</v>
      </c>
      <c r="O392" t="s">
        <v>56</v>
      </c>
      <c r="P392" t="s">
        <v>52</v>
      </c>
      <c r="Q392">
        <v>17</v>
      </c>
      <c r="R392">
        <v>220.1</v>
      </c>
    </row>
    <row r="393" spans="1:18" x14ac:dyDescent="0.3">
      <c r="A393" t="s">
        <v>847</v>
      </c>
      <c r="B393" t="s">
        <v>848</v>
      </c>
      <c r="C393" t="s">
        <v>68</v>
      </c>
      <c r="D393" t="s">
        <v>42</v>
      </c>
      <c r="E393" s="4">
        <v>42005</v>
      </c>
      <c r="F393" t="s">
        <v>48</v>
      </c>
      <c r="G393" t="s">
        <v>33</v>
      </c>
      <c r="H393" t="s">
        <v>24</v>
      </c>
      <c r="I393" t="s">
        <v>92</v>
      </c>
      <c r="J393">
        <v>6</v>
      </c>
      <c r="K393">
        <v>800</v>
      </c>
      <c r="L393">
        <v>3020</v>
      </c>
      <c r="M393">
        <v>2239</v>
      </c>
      <c r="N393" t="s">
        <v>36</v>
      </c>
      <c r="O393" t="s">
        <v>56</v>
      </c>
      <c r="P393" t="s">
        <v>51</v>
      </c>
      <c r="Q393">
        <v>46</v>
      </c>
      <c r="R393">
        <v>191.68</v>
      </c>
    </row>
    <row r="394" spans="1:18" x14ac:dyDescent="0.3">
      <c r="A394" t="s">
        <v>849</v>
      </c>
      <c r="B394" t="s">
        <v>850</v>
      </c>
      <c r="C394" t="s">
        <v>31</v>
      </c>
      <c r="D394" t="s">
        <v>109</v>
      </c>
      <c r="E394" s="4">
        <v>41761</v>
      </c>
      <c r="F394" t="s">
        <v>65</v>
      </c>
      <c r="G394" t="s">
        <v>49</v>
      </c>
      <c r="H394" t="s">
        <v>75</v>
      </c>
      <c r="I394" t="s">
        <v>51</v>
      </c>
      <c r="J394">
        <v>2</v>
      </c>
      <c r="K394">
        <v>260</v>
      </c>
      <c r="L394">
        <v>541</v>
      </c>
      <c r="M394">
        <v>34235</v>
      </c>
      <c r="N394" t="s">
        <v>36</v>
      </c>
      <c r="O394" t="s">
        <v>56</v>
      </c>
      <c r="P394" t="s">
        <v>28</v>
      </c>
      <c r="Q394">
        <v>10</v>
      </c>
      <c r="R394">
        <v>232.89</v>
      </c>
    </row>
    <row r="395" spans="1:18" x14ac:dyDescent="0.3">
      <c r="A395" t="s">
        <v>851</v>
      </c>
      <c r="B395" t="s">
        <v>852</v>
      </c>
      <c r="C395" t="s">
        <v>20</v>
      </c>
      <c r="D395" t="s">
        <v>82</v>
      </c>
      <c r="E395" s="4">
        <v>46054</v>
      </c>
      <c r="F395" t="s">
        <v>60</v>
      </c>
      <c r="G395" t="s">
        <v>23</v>
      </c>
      <c r="H395" t="s">
        <v>55</v>
      </c>
      <c r="I395" t="s">
        <v>35</v>
      </c>
      <c r="J395">
        <v>2</v>
      </c>
      <c r="K395">
        <v>707</v>
      </c>
      <c r="L395">
        <v>588.04</v>
      </c>
      <c r="M395">
        <v>39310</v>
      </c>
      <c r="N395" t="s">
        <v>36</v>
      </c>
      <c r="O395" t="s">
        <v>62</v>
      </c>
      <c r="P395" t="s">
        <v>25</v>
      </c>
      <c r="Q395">
        <v>8</v>
      </c>
      <c r="R395">
        <v>210.41</v>
      </c>
    </row>
    <row r="396" spans="1:18" x14ac:dyDescent="0.3">
      <c r="A396" t="s">
        <v>853</v>
      </c>
      <c r="B396" t="s">
        <v>854</v>
      </c>
      <c r="C396" t="s">
        <v>79</v>
      </c>
      <c r="D396" t="s">
        <v>59</v>
      </c>
      <c r="E396" s="4">
        <v>45320</v>
      </c>
      <c r="F396" t="s">
        <v>65</v>
      </c>
      <c r="G396" t="s">
        <v>33</v>
      </c>
      <c r="H396" t="s">
        <v>75</v>
      </c>
      <c r="I396" t="s">
        <v>92</v>
      </c>
      <c r="J396">
        <v>5</v>
      </c>
      <c r="K396">
        <v>1096</v>
      </c>
      <c r="L396">
        <v>171.18</v>
      </c>
      <c r="M396">
        <v>18208</v>
      </c>
      <c r="N396" t="s">
        <v>26</v>
      </c>
      <c r="O396" t="s">
        <v>62</v>
      </c>
      <c r="P396" t="s">
        <v>25</v>
      </c>
      <c r="Q396">
        <v>38</v>
      </c>
      <c r="R396">
        <v>108.29</v>
      </c>
    </row>
    <row r="397" spans="1:18" x14ac:dyDescent="0.3">
      <c r="A397" t="s">
        <v>855</v>
      </c>
      <c r="B397" t="s">
        <v>856</v>
      </c>
      <c r="C397" t="s">
        <v>68</v>
      </c>
      <c r="D397" t="s">
        <v>109</v>
      </c>
      <c r="E397" s="4">
        <v>42518</v>
      </c>
      <c r="F397" t="s">
        <v>69</v>
      </c>
      <c r="G397" t="s">
        <v>102</v>
      </c>
      <c r="H397" t="s">
        <v>75</v>
      </c>
      <c r="I397" t="s">
        <v>76</v>
      </c>
      <c r="J397">
        <v>1</v>
      </c>
      <c r="K397">
        <v>1281</v>
      </c>
      <c r="L397">
        <v>2072.52</v>
      </c>
      <c r="M397">
        <v>2062</v>
      </c>
      <c r="N397" t="s">
        <v>26</v>
      </c>
      <c r="O397" t="s">
        <v>56</v>
      </c>
      <c r="P397" t="s">
        <v>28</v>
      </c>
      <c r="Q397">
        <v>9</v>
      </c>
      <c r="R397">
        <v>200.17</v>
      </c>
    </row>
    <row r="398" spans="1:18" x14ac:dyDescent="0.3">
      <c r="A398" t="s">
        <v>857</v>
      </c>
      <c r="B398" t="s">
        <v>858</v>
      </c>
      <c r="C398" t="s">
        <v>31</v>
      </c>
      <c r="D398" t="s">
        <v>59</v>
      </c>
      <c r="E398" s="4">
        <v>42796</v>
      </c>
      <c r="F398" t="s">
        <v>60</v>
      </c>
      <c r="G398" t="s">
        <v>23</v>
      </c>
      <c r="H398" t="s">
        <v>24</v>
      </c>
      <c r="I398" t="s">
        <v>35</v>
      </c>
      <c r="J398">
        <v>3</v>
      </c>
      <c r="K398">
        <v>688</v>
      </c>
      <c r="L398">
        <v>4411.55</v>
      </c>
      <c r="M398">
        <v>26188</v>
      </c>
      <c r="N398" t="s">
        <v>61</v>
      </c>
      <c r="O398" t="s">
        <v>37</v>
      </c>
      <c r="P398" t="s">
        <v>45</v>
      </c>
      <c r="Q398">
        <v>14</v>
      </c>
      <c r="R398">
        <v>66.47</v>
      </c>
    </row>
    <row r="399" spans="1:18" x14ac:dyDescent="0.3">
      <c r="A399" t="s">
        <v>859</v>
      </c>
      <c r="B399" t="s">
        <v>860</v>
      </c>
      <c r="C399" t="s">
        <v>97</v>
      </c>
      <c r="D399" t="s">
        <v>42</v>
      </c>
      <c r="E399" s="4">
        <v>41146</v>
      </c>
      <c r="F399" t="s">
        <v>69</v>
      </c>
      <c r="G399" t="s">
        <v>44</v>
      </c>
      <c r="H399" t="s">
        <v>70</v>
      </c>
      <c r="I399" t="s">
        <v>76</v>
      </c>
      <c r="J399">
        <v>2</v>
      </c>
      <c r="K399">
        <v>1368</v>
      </c>
      <c r="L399">
        <v>4116.78</v>
      </c>
      <c r="M399">
        <v>13723</v>
      </c>
      <c r="N399" t="s">
        <v>26</v>
      </c>
      <c r="O399" t="s">
        <v>37</v>
      </c>
      <c r="P399" t="s">
        <v>51</v>
      </c>
      <c r="Q399">
        <v>30</v>
      </c>
      <c r="R399">
        <v>88.3</v>
      </c>
    </row>
    <row r="400" spans="1:18" x14ac:dyDescent="0.3">
      <c r="A400" t="s">
        <v>861</v>
      </c>
      <c r="B400" t="s">
        <v>862</v>
      </c>
      <c r="C400" t="s">
        <v>68</v>
      </c>
      <c r="D400" t="s">
        <v>59</v>
      </c>
      <c r="E400" s="4">
        <v>43018</v>
      </c>
      <c r="F400" t="s">
        <v>65</v>
      </c>
      <c r="G400" t="s">
        <v>44</v>
      </c>
      <c r="H400" t="s">
        <v>34</v>
      </c>
      <c r="I400" t="s">
        <v>92</v>
      </c>
      <c r="J400">
        <v>4</v>
      </c>
      <c r="K400">
        <v>1251</v>
      </c>
      <c r="L400">
        <v>272.89</v>
      </c>
      <c r="M400">
        <v>12774</v>
      </c>
      <c r="N400" t="s">
        <v>61</v>
      </c>
      <c r="O400" t="s">
        <v>27</v>
      </c>
      <c r="P400" t="s">
        <v>25</v>
      </c>
      <c r="Q400">
        <v>1</v>
      </c>
      <c r="R400">
        <v>182.29</v>
      </c>
    </row>
    <row r="401" spans="1:18" x14ac:dyDescent="0.3">
      <c r="A401" t="s">
        <v>863</v>
      </c>
      <c r="B401" t="s">
        <v>864</v>
      </c>
      <c r="C401" t="s">
        <v>41</v>
      </c>
      <c r="D401" t="s">
        <v>32</v>
      </c>
      <c r="E401" s="4">
        <v>45975</v>
      </c>
      <c r="F401" t="s">
        <v>48</v>
      </c>
      <c r="G401" t="s">
        <v>102</v>
      </c>
      <c r="H401" t="s">
        <v>34</v>
      </c>
      <c r="I401" t="s">
        <v>92</v>
      </c>
      <c r="J401">
        <v>5</v>
      </c>
      <c r="K401">
        <v>280</v>
      </c>
      <c r="L401">
        <v>4835.3</v>
      </c>
      <c r="M401">
        <v>3085</v>
      </c>
      <c r="N401" t="s">
        <v>36</v>
      </c>
      <c r="O401" t="s">
        <v>62</v>
      </c>
      <c r="P401" t="s">
        <v>45</v>
      </c>
      <c r="Q401">
        <v>44</v>
      </c>
      <c r="R401">
        <v>104.44</v>
      </c>
    </row>
    <row r="402" spans="1:18" x14ac:dyDescent="0.3">
      <c r="A402" t="s">
        <v>865</v>
      </c>
      <c r="B402" t="s">
        <v>866</v>
      </c>
      <c r="C402" t="s">
        <v>116</v>
      </c>
      <c r="D402" t="s">
        <v>59</v>
      </c>
      <c r="E402" s="4">
        <v>41608</v>
      </c>
      <c r="F402" t="s">
        <v>43</v>
      </c>
      <c r="G402" t="s">
        <v>33</v>
      </c>
      <c r="H402" t="s">
        <v>70</v>
      </c>
      <c r="I402" t="s">
        <v>35</v>
      </c>
      <c r="J402">
        <v>6</v>
      </c>
      <c r="K402">
        <v>964</v>
      </c>
      <c r="L402">
        <v>1697.31</v>
      </c>
      <c r="M402">
        <v>10058</v>
      </c>
      <c r="N402" t="s">
        <v>26</v>
      </c>
      <c r="O402" t="s">
        <v>62</v>
      </c>
      <c r="P402" t="s">
        <v>52</v>
      </c>
      <c r="Q402">
        <v>50</v>
      </c>
      <c r="R402">
        <v>154.69</v>
      </c>
    </row>
    <row r="403" spans="1:18" x14ac:dyDescent="0.3">
      <c r="A403" t="s">
        <v>867</v>
      </c>
      <c r="B403" t="s">
        <v>868</v>
      </c>
      <c r="C403" t="s">
        <v>41</v>
      </c>
      <c r="D403" t="s">
        <v>21</v>
      </c>
      <c r="E403" s="4">
        <v>42835</v>
      </c>
      <c r="F403" t="s">
        <v>22</v>
      </c>
      <c r="G403" t="s">
        <v>49</v>
      </c>
      <c r="H403" t="s">
        <v>50</v>
      </c>
      <c r="I403" t="s">
        <v>51</v>
      </c>
      <c r="J403">
        <v>5</v>
      </c>
      <c r="K403">
        <v>194</v>
      </c>
      <c r="L403">
        <v>3531.05</v>
      </c>
      <c r="M403">
        <v>1099</v>
      </c>
      <c r="N403" t="s">
        <v>36</v>
      </c>
      <c r="O403" t="s">
        <v>56</v>
      </c>
      <c r="P403" t="s">
        <v>28</v>
      </c>
      <c r="Q403">
        <v>38</v>
      </c>
      <c r="R403">
        <v>161.07</v>
      </c>
    </row>
    <row r="404" spans="1:18" x14ac:dyDescent="0.3">
      <c r="A404" t="s">
        <v>869</v>
      </c>
      <c r="B404" t="s">
        <v>870</v>
      </c>
      <c r="C404" t="s">
        <v>31</v>
      </c>
      <c r="D404" t="s">
        <v>32</v>
      </c>
      <c r="E404" s="4">
        <v>43164</v>
      </c>
      <c r="F404" t="s">
        <v>22</v>
      </c>
      <c r="G404" t="s">
        <v>33</v>
      </c>
      <c r="H404" t="s">
        <v>24</v>
      </c>
      <c r="I404" t="s">
        <v>76</v>
      </c>
      <c r="J404">
        <v>4</v>
      </c>
      <c r="K404">
        <v>1165</v>
      </c>
      <c r="L404">
        <v>521.1</v>
      </c>
      <c r="M404">
        <v>21213</v>
      </c>
      <c r="N404" t="s">
        <v>61</v>
      </c>
      <c r="O404" t="s">
        <v>37</v>
      </c>
      <c r="P404" t="s">
        <v>51</v>
      </c>
      <c r="Q404">
        <v>2</v>
      </c>
      <c r="R404">
        <v>5.59</v>
      </c>
    </row>
    <row r="405" spans="1:18" x14ac:dyDescent="0.3">
      <c r="A405" t="s">
        <v>871</v>
      </c>
      <c r="B405" t="s">
        <v>872</v>
      </c>
      <c r="C405" t="s">
        <v>68</v>
      </c>
      <c r="D405" t="s">
        <v>21</v>
      </c>
      <c r="E405" s="4">
        <v>42885</v>
      </c>
      <c r="F405" t="s">
        <v>65</v>
      </c>
      <c r="G405" t="s">
        <v>49</v>
      </c>
      <c r="H405" t="s">
        <v>24</v>
      </c>
      <c r="I405" t="s">
        <v>34</v>
      </c>
      <c r="J405">
        <v>7</v>
      </c>
      <c r="K405">
        <v>178</v>
      </c>
      <c r="L405">
        <v>1715.31</v>
      </c>
      <c r="M405">
        <v>35142</v>
      </c>
      <c r="N405" t="s">
        <v>36</v>
      </c>
      <c r="O405" t="s">
        <v>62</v>
      </c>
      <c r="P405" t="s">
        <v>38</v>
      </c>
      <c r="Q405">
        <v>35</v>
      </c>
      <c r="R405">
        <v>167.27</v>
      </c>
    </row>
    <row r="406" spans="1:18" x14ac:dyDescent="0.3">
      <c r="A406" t="s">
        <v>873</v>
      </c>
      <c r="B406" t="s">
        <v>874</v>
      </c>
      <c r="C406" t="s">
        <v>116</v>
      </c>
      <c r="D406" t="s">
        <v>42</v>
      </c>
      <c r="E406" s="4">
        <v>42390</v>
      </c>
      <c r="F406" t="s">
        <v>65</v>
      </c>
      <c r="G406" t="s">
        <v>23</v>
      </c>
      <c r="H406" t="s">
        <v>75</v>
      </c>
      <c r="I406" t="s">
        <v>51</v>
      </c>
      <c r="J406">
        <v>3</v>
      </c>
      <c r="K406">
        <v>1363</v>
      </c>
      <c r="L406">
        <v>760.62</v>
      </c>
      <c r="M406">
        <v>8110</v>
      </c>
      <c r="N406" t="s">
        <v>36</v>
      </c>
      <c r="O406" t="s">
        <v>56</v>
      </c>
      <c r="P406" t="s">
        <v>25</v>
      </c>
      <c r="Q406">
        <v>25</v>
      </c>
      <c r="R406">
        <v>147.12</v>
      </c>
    </row>
    <row r="407" spans="1:18" x14ac:dyDescent="0.3">
      <c r="A407" t="s">
        <v>875</v>
      </c>
      <c r="B407" t="s">
        <v>876</v>
      </c>
      <c r="C407" t="s">
        <v>97</v>
      </c>
      <c r="D407" t="s">
        <v>21</v>
      </c>
      <c r="E407" s="4">
        <v>46034</v>
      </c>
      <c r="F407" t="s">
        <v>65</v>
      </c>
      <c r="G407" t="s">
        <v>33</v>
      </c>
      <c r="H407" t="s">
        <v>24</v>
      </c>
      <c r="I407" t="s">
        <v>34</v>
      </c>
      <c r="J407">
        <v>4</v>
      </c>
      <c r="K407">
        <v>1059</v>
      </c>
      <c r="L407">
        <v>3519.65</v>
      </c>
      <c r="M407">
        <v>10271</v>
      </c>
      <c r="N407" t="s">
        <v>36</v>
      </c>
      <c r="O407" t="s">
        <v>27</v>
      </c>
      <c r="P407" t="s">
        <v>52</v>
      </c>
      <c r="Q407">
        <v>42</v>
      </c>
      <c r="R407">
        <v>237.06</v>
      </c>
    </row>
    <row r="408" spans="1:18" x14ac:dyDescent="0.3">
      <c r="A408" t="s">
        <v>877</v>
      </c>
      <c r="B408" t="s">
        <v>878</v>
      </c>
      <c r="C408" t="s">
        <v>31</v>
      </c>
      <c r="D408" t="s">
        <v>32</v>
      </c>
      <c r="E408" s="4">
        <v>40685</v>
      </c>
      <c r="F408" t="s">
        <v>22</v>
      </c>
      <c r="G408" t="s">
        <v>102</v>
      </c>
      <c r="H408" t="s">
        <v>55</v>
      </c>
      <c r="I408" t="s">
        <v>51</v>
      </c>
      <c r="J408">
        <v>4</v>
      </c>
      <c r="K408">
        <v>320</v>
      </c>
      <c r="L408">
        <v>340.61</v>
      </c>
      <c r="M408">
        <v>15182</v>
      </c>
      <c r="N408" t="s">
        <v>26</v>
      </c>
      <c r="O408" t="s">
        <v>62</v>
      </c>
      <c r="P408" t="s">
        <v>25</v>
      </c>
      <c r="Q408">
        <v>21</v>
      </c>
      <c r="R408">
        <v>56.07</v>
      </c>
    </row>
    <row r="409" spans="1:18" x14ac:dyDescent="0.3">
      <c r="A409" t="s">
        <v>879</v>
      </c>
      <c r="B409" t="s">
        <v>880</v>
      </c>
      <c r="C409" t="s">
        <v>31</v>
      </c>
      <c r="D409" t="s">
        <v>59</v>
      </c>
      <c r="E409" s="4">
        <v>41638</v>
      </c>
      <c r="F409" t="s">
        <v>60</v>
      </c>
      <c r="G409" t="s">
        <v>102</v>
      </c>
      <c r="H409" t="s">
        <v>75</v>
      </c>
      <c r="I409" t="s">
        <v>76</v>
      </c>
      <c r="J409">
        <v>6</v>
      </c>
      <c r="K409">
        <v>1281</v>
      </c>
      <c r="L409">
        <v>372.88</v>
      </c>
      <c r="M409">
        <v>44306</v>
      </c>
      <c r="N409" t="s">
        <v>61</v>
      </c>
      <c r="O409" t="s">
        <v>37</v>
      </c>
      <c r="P409" t="s">
        <v>51</v>
      </c>
      <c r="Q409">
        <v>10</v>
      </c>
      <c r="R409">
        <v>24.26</v>
      </c>
    </row>
    <row r="410" spans="1:18" x14ac:dyDescent="0.3">
      <c r="A410" t="s">
        <v>881</v>
      </c>
      <c r="B410" t="s">
        <v>882</v>
      </c>
      <c r="C410" t="s">
        <v>41</v>
      </c>
      <c r="D410" t="s">
        <v>59</v>
      </c>
      <c r="E410" s="4">
        <v>41609</v>
      </c>
      <c r="F410" t="s">
        <v>60</v>
      </c>
      <c r="G410" t="s">
        <v>102</v>
      </c>
      <c r="H410" t="s">
        <v>24</v>
      </c>
      <c r="I410" t="s">
        <v>76</v>
      </c>
      <c r="J410">
        <v>4</v>
      </c>
      <c r="K410">
        <v>1448</v>
      </c>
      <c r="L410">
        <v>4394.5</v>
      </c>
      <c r="M410">
        <v>28950</v>
      </c>
      <c r="N410" t="s">
        <v>61</v>
      </c>
      <c r="O410" t="s">
        <v>62</v>
      </c>
      <c r="P410" t="s">
        <v>25</v>
      </c>
      <c r="Q410">
        <v>6</v>
      </c>
      <c r="R410">
        <v>121.01</v>
      </c>
    </row>
    <row r="411" spans="1:18" x14ac:dyDescent="0.3">
      <c r="A411" t="s">
        <v>883</v>
      </c>
      <c r="B411" t="s">
        <v>884</v>
      </c>
      <c r="C411" t="s">
        <v>68</v>
      </c>
      <c r="D411" t="s">
        <v>42</v>
      </c>
      <c r="E411" s="4">
        <v>42838</v>
      </c>
      <c r="F411" t="s">
        <v>60</v>
      </c>
      <c r="G411" t="s">
        <v>23</v>
      </c>
      <c r="H411" t="s">
        <v>50</v>
      </c>
      <c r="I411" t="s">
        <v>34</v>
      </c>
      <c r="J411">
        <v>6</v>
      </c>
      <c r="K411">
        <v>294</v>
      </c>
      <c r="L411">
        <v>4955.5200000000004</v>
      </c>
      <c r="M411">
        <v>49654</v>
      </c>
      <c r="N411" t="s">
        <v>26</v>
      </c>
      <c r="O411" t="s">
        <v>56</v>
      </c>
      <c r="P411" t="s">
        <v>51</v>
      </c>
      <c r="Q411">
        <v>47</v>
      </c>
      <c r="R411">
        <v>247.68</v>
      </c>
    </row>
    <row r="412" spans="1:18" x14ac:dyDescent="0.3">
      <c r="A412" t="s">
        <v>885</v>
      </c>
      <c r="B412" t="s">
        <v>886</v>
      </c>
      <c r="C412" t="s">
        <v>68</v>
      </c>
      <c r="D412" t="s">
        <v>21</v>
      </c>
      <c r="E412" s="4">
        <v>42395</v>
      </c>
      <c r="F412" t="s">
        <v>69</v>
      </c>
      <c r="G412" t="s">
        <v>33</v>
      </c>
      <c r="H412" t="s">
        <v>24</v>
      </c>
      <c r="I412" t="s">
        <v>51</v>
      </c>
      <c r="J412">
        <v>0</v>
      </c>
      <c r="K412">
        <v>418</v>
      </c>
      <c r="L412">
        <v>1349.59</v>
      </c>
      <c r="M412">
        <v>41505</v>
      </c>
      <c r="N412" t="s">
        <v>36</v>
      </c>
      <c r="O412" t="s">
        <v>62</v>
      </c>
      <c r="P412" t="s">
        <v>52</v>
      </c>
      <c r="Q412">
        <v>5</v>
      </c>
      <c r="R412">
        <v>75.790000000000006</v>
      </c>
    </row>
    <row r="413" spans="1:18" x14ac:dyDescent="0.3">
      <c r="A413" t="s">
        <v>887</v>
      </c>
      <c r="B413" t="s">
        <v>888</v>
      </c>
      <c r="C413" t="s">
        <v>68</v>
      </c>
      <c r="D413" t="s">
        <v>82</v>
      </c>
      <c r="E413" s="4">
        <v>44263</v>
      </c>
      <c r="F413" t="s">
        <v>22</v>
      </c>
      <c r="G413" t="s">
        <v>102</v>
      </c>
      <c r="H413" t="s">
        <v>70</v>
      </c>
      <c r="I413" t="s">
        <v>92</v>
      </c>
      <c r="J413">
        <v>1</v>
      </c>
      <c r="K413">
        <v>999</v>
      </c>
      <c r="L413">
        <v>3737.97</v>
      </c>
      <c r="M413">
        <v>18574</v>
      </c>
      <c r="N413" t="s">
        <v>26</v>
      </c>
      <c r="O413" t="s">
        <v>62</v>
      </c>
      <c r="P413" t="s">
        <v>51</v>
      </c>
      <c r="Q413">
        <v>42</v>
      </c>
      <c r="R413">
        <v>119.57</v>
      </c>
    </row>
    <row r="414" spans="1:18" x14ac:dyDescent="0.3">
      <c r="A414" t="s">
        <v>889</v>
      </c>
      <c r="B414" t="s">
        <v>890</v>
      </c>
      <c r="C414" t="s">
        <v>20</v>
      </c>
      <c r="D414" t="s">
        <v>42</v>
      </c>
      <c r="E414" s="4">
        <v>41652</v>
      </c>
      <c r="F414" t="s">
        <v>65</v>
      </c>
      <c r="G414" t="s">
        <v>49</v>
      </c>
      <c r="H414" t="s">
        <v>50</v>
      </c>
      <c r="I414" t="s">
        <v>92</v>
      </c>
      <c r="J414">
        <v>8</v>
      </c>
      <c r="K414">
        <v>377</v>
      </c>
      <c r="L414">
        <v>2911.36</v>
      </c>
      <c r="M414">
        <v>48576</v>
      </c>
      <c r="N414" t="s">
        <v>36</v>
      </c>
      <c r="O414" t="s">
        <v>62</v>
      </c>
      <c r="P414" t="s">
        <v>52</v>
      </c>
      <c r="Q414">
        <v>36</v>
      </c>
      <c r="R414">
        <v>9.93</v>
      </c>
    </row>
    <row r="415" spans="1:18" x14ac:dyDescent="0.3">
      <c r="A415" t="s">
        <v>891</v>
      </c>
      <c r="B415" t="s">
        <v>892</v>
      </c>
      <c r="C415" t="s">
        <v>116</v>
      </c>
      <c r="D415" t="s">
        <v>59</v>
      </c>
      <c r="E415" s="4">
        <v>44358</v>
      </c>
      <c r="F415" t="s">
        <v>48</v>
      </c>
      <c r="G415" t="s">
        <v>102</v>
      </c>
      <c r="H415" t="s">
        <v>50</v>
      </c>
      <c r="I415" t="s">
        <v>92</v>
      </c>
      <c r="J415">
        <v>3</v>
      </c>
      <c r="K415">
        <v>1400</v>
      </c>
      <c r="L415">
        <v>1735.89</v>
      </c>
      <c r="M415">
        <v>22702</v>
      </c>
      <c r="N415" t="s">
        <v>36</v>
      </c>
      <c r="O415" t="s">
        <v>56</v>
      </c>
      <c r="P415" t="s">
        <v>52</v>
      </c>
      <c r="Q415">
        <v>16</v>
      </c>
      <c r="R415">
        <v>2.0099999999999998</v>
      </c>
    </row>
    <row r="416" spans="1:18" x14ac:dyDescent="0.3">
      <c r="A416" t="s">
        <v>893</v>
      </c>
      <c r="B416" t="s">
        <v>894</v>
      </c>
      <c r="C416" t="s">
        <v>31</v>
      </c>
      <c r="D416" t="s">
        <v>32</v>
      </c>
      <c r="E416" s="4">
        <v>44328</v>
      </c>
      <c r="F416" t="s">
        <v>60</v>
      </c>
      <c r="G416" t="s">
        <v>33</v>
      </c>
      <c r="H416" t="s">
        <v>34</v>
      </c>
      <c r="I416" t="s">
        <v>25</v>
      </c>
      <c r="J416">
        <v>5</v>
      </c>
      <c r="K416">
        <v>1115</v>
      </c>
      <c r="L416">
        <v>1733.47</v>
      </c>
      <c r="M416">
        <v>33229</v>
      </c>
      <c r="N416" t="s">
        <v>26</v>
      </c>
      <c r="O416" t="s">
        <v>56</v>
      </c>
      <c r="P416" t="s">
        <v>38</v>
      </c>
      <c r="Q416">
        <v>33</v>
      </c>
      <c r="R416">
        <v>150.38</v>
      </c>
    </row>
    <row r="417" spans="1:18" x14ac:dyDescent="0.3">
      <c r="A417" t="s">
        <v>895</v>
      </c>
      <c r="B417" t="s">
        <v>896</v>
      </c>
      <c r="C417" t="s">
        <v>20</v>
      </c>
      <c r="D417" t="s">
        <v>21</v>
      </c>
      <c r="E417" s="4">
        <v>44726</v>
      </c>
      <c r="F417" t="s">
        <v>65</v>
      </c>
      <c r="G417" t="s">
        <v>49</v>
      </c>
      <c r="H417" t="s">
        <v>55</v>
      </c>
      <c r="I417" t="s">
        <v>34</v>
      </c>
      <c r="J417">
        <v>4</v>
      </c>
      <c r="K417">
        <v>781</v>
      </c>
      <c r="L417">
        <v>3137.12</v>
      </c>
      <c r="M417">
        <v>44771</v>
      </c>
      <c r="N417" t="s">
        <v>26</v>
      </c>
      <c r="O417" t="s">
        <v>62</v>
      </c>
      <c r="P417" t="s">
        <v>51</v>
      </c>
      <c r="Q417">
        <v>40</v>
      </c>
      <c r="R417">
        <v>124.53</v>
      </c>
    </row>
    <row r="418" spans="1:18" x14ac:dyDescent="0.3">
      <c r="A418" t="s">
        <v>897</v>
      </c>
      <c r="B418" t="s">
        <v>898</v>
      </c>
      <c r="C418" t="s">
        <v>97</v>
      </c>
      <c r="D418" t="s">
        <v>59</v>
      </c>
      <c r="E418" s="4">
        <v>45180</v>
      </c>
      <c r="F418" t="s">
        <v>60</v>
      </c>
      <c r="G418" t="s">
        <v>23</v>
      </c>
      <c r="H418" t="s">
        <v>70</v>
      </c>
      <c r="I418" t="s">
        <v>35</v>
      </c>
      <c r="J418">
        <v>4</v>
      </c>
      <c r="K418">
        <v>1014</v>
      </c>
      <c r="L418">
        <v>2175.67</v>
      </c>
      <c r="M418">
        <v>43655</v>
      </c>
      <c r="N418" t="s">
        <v>36</v>
      </c>
      <c r="O418" t="s">
        <v>27</v>
      </c>
      <c r="P418" t="s">
        <v>51</v>
      </c>
      <c r="Q418">
        <v>43</v>
      </c>
      <c r="R418">
        <v>115.52</v>
      </c>
    </row>
    <row r="419" spans="1:18" x14ac:dyDescent="0.3">
      <c r="A419" t="s">
        <v>899</v>
      </c>
      <c r="B419" t="s">
        <v>900</v>
      </c>
      <c r="C419" t="s">
        <v>79</v>
      </c>
      <c r="D419" t="s">
        <v>32</v>
      </c>
      <c r="E419" s="4">
        <v>42159</v>
      </c>
      <c r="F419" t="s">
        <v>48</v>
      </c>
      <c r="G419" t="s">
        <v>102</v>
      </c>
      <c r="H419" t="s">
        <v>50</v>
      </c>
      <c r="I419" t="s">
        <v>51</v>
      </c>
      <c r="J419">
        <v>4</v>
      </c>
      <c r="K419">
        <v>1179</v>
      </c>
      <c r="L419">
        <v>2781.82</v>
      </c>
      <c r="M419">
        <v>35901</v>
      </c>
      <c r="N419" t="s">
        <v>61</v>
      </c>
      <c r="O419" t="s">
        <v>27</v>
      </c>
      <c r="P419" t="s">
        <v>25</v>
      </c>
      <c r="Q419">
        <v>15</v>
      </c>
      <c r="R419">
        <v>48</v>
      </c>
    </row>
    <row r="420" spans="1:18" x14ac:dyDescent="0.3">
      <c r="A420" t="s">
        <v>901</v>
      </c>
      <c r="B420" t="s">
        <v>902</v>
      </c>
      <c r="C420" t="s">
        <v>41</v>
      </c>
      <c r="D420" t="s">
        <v>59</v>
      </c>
      <c r="E420" s="4">
        <v>42027</v>
      </c>
      <c r="F420" t="s">
        <v>22</v>
      </c>
      <c r="G420" t="s">
        <v>44</v>
      </c>
      <c r="H420" t="s">
        <v>34</v>
      </c>
      <c r="I420" t="s">
        <v>76</v>
      </c>
      <c r="J420">
        <v>2</v>
      </c>
      <c r="K420">
        <v>218</v>
      </c>
      <c r="L420">
        <v>3858.76</v>
      </c>
      <c r="M420">
        <v>47409</v>
      </c>
      <c r="N420" t="s">
        <v>61</v>
      </c>
      <c r="O420" t="s">
        <v>27</v>
      </c>
      <c r="P420" t="s">
        <v>38</v>
      </c>
      <c r="Q420">
        <v>15</v>
      </c>
      <c r="R420">
        <v>156.44999999999999</v>
      </c>
    </row>
    <row r="421" spans="1:18" x14ac:dyDescent="0.3">
      <c r="A421" t="s">
        <v>903</v>
      </c>
      <c r="B421" t="s">
        <v>904</v>
      </c>
      <c r="C421" t="s">
        <v>68</v>
      </c>
      <c r="D421" t="s">
        <v>82</v>
      </c>
      <c r="E421" s="4">
        <v>42433</v>
      </c>
      <c r="F421" t="s">
        <v>60</v>
      </c>
      <c r="G421" t="s">
        <v>33</v>
      </c>
      <c r="H421" t="s">
        <v>50</v>
      </c>
      <c r="I421" t="s">
        <v>34</v>
      </c>
      <c r="J421">
        <v>1</v>
      </c>
      <c r="K421">
        <v>1037</v>
      </c>
      <c r="L421">
        <v>3563.29</v>
      </c>
      <c r="M421">
        <v>37058</v>
      </c>
      <c r="N421" t="s">
        <v>26</v>
      </c>
      <c r="O421" t="s">
        <v>27</v>
      </c>
      <c r="P421" t="s">
        <v>38</v>
      </c>
      <c r="Q421">
        <v>3</v>
      </c>
      <c r="R421">
        <v>246.4</v>
      </c>
    </row>
    <row r="422" spans="1:18" x14ac:dyDescent="0.3">
      <c r="A422" t="s">
        <v>905</v>
      </c>
      <c r="B422" t="s">
        <v>906</v>
      </c>
      <c r="C422" t="s">
        <v>97</v>
      </c>
      <c r="D422" t="s">
        <v>21</v>
      </c>
      <c r="E422" s="4">
        <v>44952</v>
      </c>
      <c r="F422" t="s">
        <v>60</v>
      </c>
      <c r="G422" t="s">
        <v>102</v>
      </c>
      <c r="H422" t="s">
        <v>75</v>
      </c>
      <c r="I422" t="s">
        <v>92</v>
      </c>
      <c r="J422">
        <v>3</v>
      </c>
      <c r="K422">
        <v>1175</v>
      </c>
      <c r="L422">
        <v>3611.69</v>
      </c>
      <c r="M422">
        <v>1208</v>
      </c>
      <c r="N422" t="s">
        <v>36</v>
      </c>
      <c r="O422" t="s">
        <v>37</v>
      </c>
      <c r="P422" t="s">
        <v>45</v>
      </c>
      <c r="Q422">
        <v>11</v>
      </c>
      <c r="R422">
        <v>237.92</v>
      </c>
    </row>
    <row r="423" spans="1:18" x14ac:dyDescent="0.3">
      <c r="A423" t="s">
        <v>907</v>
      </c>
      <c r="B423" t="s">
        <v>908</v>
      </c>
      <c r="C423" t="s">
        <v>31</v>
      </c>
      <c r="D423" t="s">
        <v>82</v>
      </c>
      <c r="E423" s="4">
        <v>43407</v>
      </c>
      <c r="F423" t="s">
        <v>43</v>
      </c>
      <c r="G423" t="s">
        <v>23</v>
      </c>
      <c r="H423" t="s">
        <v>50</v>
      </c>
      <c r="I423" t="s">
        <v>76</v>
      </c>
      <c r="J423">
        <v>8</v>
      </c>
      <c r="K423">
        <v>1401</v>
      </c>
      <c r="L423">
        <v>4842.6499999999996</v>
      </c>
      <c r="M423">
        <v>46811</v>
      </c>
      <c r="N423" t="s">
        <v>36</v>
      </c>
      <c r="O423" t="s">
        <v>62</v>
      </c>
      <c r="P423" t="s">
        <v>51</v>
      </c>
      <c r="Q423">
        <v>38</v>
      </c>
      <c r="R423">
        <v>116.79</v>
      </c>
    </row>
    <row r="424" spans="1:18" x14ac:dyDescent="0.3">
      <c r="A424" t="s">
        <v>909</v>
      </c>
      <c r="B424" t="s">
        <v>910</v>
      </c>
      <c r="C424" t="s">
        <v>68</v>
      </c>
      <c r="D424" t="s">
        <v>32</v>
      </c>
      <c r="E424" s="4">
        <v>45124</v>
      </c>
      <c r="F424" t="s">
        <v>69</v>
      </c>
      <c r="G424" t="s">
        <v>33</v>
      </c>
      <c r="H424" t="s">
        <v>50</v>
      </c>
      <c r="I424" t="s">
        <v>25</v>
      </c>
      <c r="J424">
        <v>2</v>
      </c>
      <c r="K424">
        <v>1300</v>
      </c>
      <c r="L424">
        <v>549.72</v>
      </c>
      <c r="M424">
        <v>18520</v>
      </c>
      <c r="N424" t="s">
        <v>61</v>
      </c>
      <c r="O424" t="s">
        <v>62</v>
      </c>
      <c r="P424" t="s">
        <v>25</v>
      </c>
      <c r="Q424">
        <v>37</v>
      </c>
      <c r="R424">
        <v>128.82</v>
      </c>
    </row>
    <row r="425" spans="1:18" x14ac:dyDescent="0.3">
      <c r="A425" t="s">
        <v>911</v>
      </c>
      <c r="B425" t="s">
        <v>912</v>
      </c>
      <c r="C425" t="s">
        <v>31</v>
      </c>
      <c r="D425" t="s">
        <v>21</v>
      </c>
      <c r="E425" s="4">
        <v>45379</v>
      </c>
      <c r="F425" t="s">
        <v>43</v>
      </c>
      <c r="G425" t="s">
        <v>23</v>
      </c>
      <c r="H425" t="s">
        <v>24</v>
      </c>
      <c r="I425" t="s">
        <v>25</v>
      </c>
      <c r="J425">
        <v>1</v>
      </c>
      <c r="K425">
        <v>850</v>
      </c>
      <c r="L425">
        <v>3444.4</v>
      </c>
      <c r="M425">
        <v>28292</v>
      </c>
      <c r="N425" t="s">
        <v>36</v>
      </c>
      <c r="O425" t="s">
        <v>56</v>
      </c>
      <c r="P425" t="s">
        <v>45</v>
      </c>
      <c r="Q425">
        <v>21</v>
      </c>
      <c r="R425">
        <v>183.41</v>
      </c>
    </row>
    <row r="426" spans="1:18" x14ac:dyDescent="0.3">
      <c r="A426" t="s">
        <v>913</v>
      </c>
      <c r="B426" t="s">
        <v>914</v>
      </c>
      <c r="C426" t="s">
        <v>116</v>
      </c>
      <c r="D426" t="s">
        <v>42</v>
      </c>
      <c r="E426" s="4">
        <v>45473</v>
      </c>
      <c r="F426" t="s">
        <v>22</v>
      </c>
      <c r="G426" t="s">
        <v>44</v>
      </c>
      <c r="H426" t="s">
        <v>70</v>
      </c>
      <c r="I426" t="s">
        <v>35</v>
      </c>
      <c r="J426">
        <v>1</v>
      </c>
      <c r="K426">
        <v>523</v>
      </c>
      <c r="L426">
        <v>928.43</v>
      </c>
      <c r="M426">
        <v>19251</v>
      </c>
      <c r="N426" t="s">
        <v>61</v>
      </c>
      <c r="O426" t="s">
        <v>56</v>
      </c>
      <c r="P426" t="s">
        <v>28</v>
      </c>
      <c r="Q426">
        <v>36</v>
      </c>
      <c r="R426">
        <v>133.57</v>
      </c>
    </row>
    <row r="427" spans="1:18" x14ac:dyDescent="0.3">
      <c r="A427" t="s">
        <v>915</v>
      </c>
      <c r="B427" t="s">
        <v>916</v>
      </c>
      <c r="C427" t="s">
        <v>68</v>
      </c>
      <c r="D427" t="s">
        <v>82</v>
      </c>
      <c r="E427" s="4">
        <v>45961</v>
      </c>
      <c r="F427" t="s">
        <v>69</v>
      </c>
      <c r="G427" t="s">
        <v>23</v>
      </c>
      <c r="H427" t="s">
        <v>34</v>
      </c>
      <c r="I427" t="s">
        <v>51</v>
      </c>
      <c r="J427">
        <v>0</v>
      </c>
      <c r="K427">
        <v>939</v>
      </c>
      <c r="L427">
        <v>3778.83</v>
      </c>
      <c r="M427">
        <v>20190</v>
      </c>
      <c r="N427" t="s">
        <v>36</v>
      </c>
      <c r="O427" t="s">
        <v>37</v>
      </c>
      <c r="P427" t="s">
        <v>28</v>
      </c>
      <c r="Q427">
        <v>50</v>
      </c>
      <c r="R427">
        <v>160.46</v>
      </c>
    </row>
    <row r="428" spans="1:18" x14ac:dyDescent="0.3">
      <c r="A428" t="s">
        <v>917</v>
      </c>
      <c r="B428" t="s">
        <v>918</v>
      </c>
      <c r="C428" t="s">
        <v>68</v>
      </c>
      <c r="D428" t="s">
        <v>21</v>
      </c>
      <c r="E428" s="4">
        <v>44215</v>
      </c>
      <c r="F428" t="s">
        <v>43</v>
      </c>
      <c r="G428" t="s">
        <v>83</v>
      </c>
      <c r="H428" t="s">
        <v>24</v>
      </c>
      <c r="I428" t="s">
        <v>76</v>
      </c>
      <c r="J428">
        <v>8</v>
      </c>
      <c r="K428">
        <v>239</v>
      </c>
      <c r="L428">
        <v>180.26</v>
      </c>
      <c r="M428">
        <v>35328</v>
      </c>
      <c r="N428" t="s">
        <v>36</v>
      </c>
      <c r="O428" t="s">
        <v>27</v>
      </c>
      <c r="P428" t="s">
        <v>38</v>
      </c>
      <c r="Q428">
        <v>2</v>
      </c>
      <c r="R428">
        <v>207.49</v>
      </c>
    </row>
    <row r="429" spans="1:18" x14ac:dyDescent="0.3">
      <c r="A429" t="s">
        <v>919</v>
      </c>
      <c r="B429" t="s">
        <v>920</v>
      </c>
      <c r="C429" t="s">
        <v>116</v>
      </c>
      <c r="D429" t="s">
        <v>59</v>
      </c>
      <c r="E429" s="4">
        <v>42880</v>
      </c>
      <c r="F429" t="s">
        <v>22</v>
      </c>
      <c r="G429" t="s">
        <v>83</v>
      </c>
      <c r="H429" t="s">
        <v>24</v>
      </c>
      <c r="I429" t="s">
        <v>76</v>
      </c>
      <c r="J429">
        <v>5</v>
      </c>
      <c r="K429">
        <v>414</v>
      </c>
      <c r="L429">
        <v>2487.91</v>
      </c>
      <c r="M429">
        <v>40138</v>
      </c>
      <c r="N429" t="s">
        <v>26</v>
      </c>
      <c r="O429" t="s">
        <v>27</v>
      </c>
      <c r="P429" t="s">
        <v>45</v>
      </c>
      <c r="Q429">
        <v>26</v>
      </c>
      <c r="R429">
        <v>41.26</v>
      </c>
    </row>
    <row r="430" spans="1:18" x14ac:dyDescent="0.3">
      <c r="A430" t="s">
        <v>921</v>
      </c>
      <c r="B430" t="s">
        <v>922</v>
      </c>
      <c r="C430" t="s">
        <v>68</v>
      </c>
      <c r="D430" t="s">
        <v>59</v>
      </c>
      <c r="E430" s="4">
        <v>41733</v>
      </c>
      <c r="F430" t="s">
        <v>43</v>
      </c>
      <c r="G430" t="s">
        <v>49</v>
      </c>
      <c r="H430" t="s">
        <v>24</v>
      </c>
      <c r="I430" t="s">
        <v>92</v>
      </c>
      <c r="J430">
        <v>1</v>
      </c>
      <c r="K430">
        <v>980</v>
      </c>
      <c r="L430">
        <v>89.63</v>
      </c>
      <c r="M430">
        <v>16081</v>
      </c>
      <c r="N430" t="s">
        <v>26</v>
      </c>
      <c r="O430" t="s">
        <v>37</v>
      </c>
      <c r="P430" t="s">
        <v>25</v>
      </c>
      <c r="Q430">
        <v>47</v>
      </c>
      <c r="R430">
        <v>142.27000000000001</v>
      </c>
    </row>
    <row r="431" spans="1:18" x14ac:dyDescent="0.3">
      <c r="A431" t="s">
        <v>923</v>
      </c>
      <c r="B431" t="s">
        <v>924</v>
      </c>
      <c r="C431" t="s">
        <v>31</v>
      </c>
      <c r="D431" t="s">
        <v>21</v>
      </c>
      <c r="E431" s="4">
        <v>44559</v>
      </c>
      <c r="F431" t="s">
        <v>60</v>
      </c>
      <c r="G431" t="s">
        <v>23</v>
      </c>
      <c r="H431" t="s">
        <v>55</v>
      </c>
      <c r="I431" t="s">
        <v>92</v>
      </c>
      <c r="J431">
        <v>5</v>
      </c>
      <c r="K431">
        <v>369</v>
      </c>
      <c r="L431">
        <v>4241.07</v>
      </c>
      <c r="M431">
        <v>48883</v>
      </c>
      <c r="N431" t="s">
        <v>26</v>
      </c>
      <c r="O431" t="s">
        <v>27</v>
      </c>
      <c r="P431" t="s">
        <v>38</v>
      </c>
      <c r="Q431">
        <v>38</v>
      </c>
      <c r="R431">
        <v>18.62</v>
      </c>
    </row>
    <row r="432" spans="1:18" x14ac:dyDescent="0.3">
      <c r="A432" t="s">
        <v>925</v>
      </c>
      <c r="B432" t="s">
        <v>926</v>
      </c>
      <c r="C432" t="s">
        <v>41</v>
      </c>
      <c r="D432" t="s">
        <v>59</v>
      </c>
      <c r="E432" s="4">
        <v>44771</v>
      </c>
      <c r="F432" t="s">
        <v>48</v>
      </c>
      <c r="G432" t="s">
        <v>23</v>
      </c>
      <c r="H432" t="s">
        <v>75</v>
      </c>
      <c r="I432" t="s">
        <v>51</v>
      </c>
      <c r="J432">
        <v>3</v>
      </c>
      <c r="K432">
        <v>1338</v>
      </c>
      <c r="L432">
        <v>1652.64</v>
      </c>
      <c r="M432">
        <v>1334</v>
      </c>
      <c r="N432" t="s">
        <v>61</v>
      </c>
      <c r="O432" t="s">
        <v>56</v>
      </c>
      <c r="P432" t="s">
        <v>38</v>
      </c>
      <c r="Q432">
        <v>39</v>
      </c>
      <c r="R432">
        <v>170.1</v>
      </c>
    </row>
    <row r="433" spans="1:18" x14ac:dyDescent="0.3">
      <c r="A433" t="s">
        <v>927</v>
      </c>
      <c r="B433" t="s">
        <v>928</v>
      </c>
      <c r="C433" t="s">
        <v>68</v>
      </c>
      <c r="D433" t="s">
        <v>42</v>
      </c>
      <c r="E433" s="4">
        <v>44135</v>
      </c>
      <c r="F433" t="s">
        <v>65</v>
      </c>
      <c r="G433" t="s">
        <v>83</v>
      </c>
      <c r="H433" t="s">
        <v>34</v>
      </c>
      <c r="I433" t="s">
        <v>92</v>
      </c>
      <c r="J433">
        <v>3</v>
      </c>
      <c r="K433">
        <v>1072</v>
      </c>
      <c r="L433">
        <v>3439.77</v>
      </c>
      <c r="M433">
        <v>22408</v>
      </c>
      <c r="N433" t="s">
        <v>36</v>
      </c>
      <c r="O433" t="s">
        <v>56</v>
      </c>
      <c r="P433" t="s">
        <v>52</v>
      </c>
      <c r="Q433">
        <v>9</v>
      </c>
      <c r="R433">
        <v>56.93</v>
      </c>
    </row>
    <row r="434" spans="1:18" x14ac:dyDescent="0.3">
      <c r="A434" t="s">
        <v>929</v>
      </c>
      <c r="B434" t="s">
        <v>930</v>
      </c>
      <c r="C434" t="s">
        <v>79</v>
      </c>
      <c r="D434" t="s">
        <v>21</v>
      </c>
      <c r="E434" s="4">
        <v>43788</v>
      </c>
      <c r="F434" t="s">
        <v>48</v>
      </c>
      <c r="G434" t="s">
        <v>33</v>
      </c>
      <c r="H434" t="s">
        <v>50</v>
      </c>
      <c r="I434" t="s">
        <v>92</v>
      </c>
      <c r="J434">
        <v>1</v>
      </c>
      <c r="K434">
        <v>82</v>
      </c>
      <c r="L434">
        <v>4066.64</v>
      </c>
      <c r="M434">
        <v>35022</v>
      </c>
      <c r="N434" t="s">
        <v>26</v>
      </c>
      <c r="O434" t="s">
        <v>56</v>
      </c>
      <c r="P434" t="s">
        <v>51</v>
      </c>
      <c r="Q434">
        <v>31</v>
      </c>
      <c r="R434">
        <v>57.79</v>
      </c>
    </row>
    <row r="435" spans="1:18" x14ac:dyDescent="0.3">
      <c r="A435" t="s">
        <v>931</v>
      </c>
      <c r="B435" t="s">
        <v>932</v>
      </c>
      <c r="C435" t="s">
        <v>68</v>
      </c>
      <c r="D435" t="s">
        <v>42</v>
      </c>
      <c r="E435" s="4">
        <v>45372</v>
      </c>
      <c r="F435" t="s">
        <v>69</v>
      </c>
      <c r="G435" t="s">
        <v>83</v>
      </c>
      <c r="H435" t="s">
        <v>24</v>
      </c>
      <c r="I435" t="s">
        <v>51</v>
      </c>
      <c r="J435">
        <v>6</v>
      </c>
      <c r="K435">
        <v>204</v>
      </c>
      <c r="L435">
        <v>2512.19</v>
      </c>
      <c r="M435">
        <v>1810</v>
      </c>
      <c r="N435" t="s">
        <v>61</v>
      </c>
      <c r="O435" t="s">
        <v>56</v>
      </c>
      <c r="P435" t="s">
        <v>45</v>
      </c>
      <c r="Q435">
        <v>26</v>
      </c>
      <c r="R435">
        <v>118.39</v>
      </c>
    </row>
    <row r="436" spans="1:18" x14ac:dyDescent="0.3">
      <c r="A436" t="s">
        <v>933</v>
      </c>
      <c r="B436" t="s">
        <v>934</v>
      </c>
      <c r="C436" t="s">
        <v>41</v>
      </c>
      <c r="D436" t="s">
        <v>109</v>
      </c>
      <c r="E436" s="4">
        <v>43308</v>
      </c>
      <c r="F436" t="s">
        <v>22</v>
      </c>
      <c r="G436" t="s">
        <v>49</v>
      </c>
      <c r="H436" t="s">
        <v>50</v>
      </c>
      <c r="I436" t="s">
        <v>25</v>
      </c>
      <c r="J436">
        <v>4</v>
      </c>
      <c r="K436">
        <v>1474</v>
      </c>
      <c r="L436">
        <v>3763.25</v>
      </c>
      <c r="M436">
        <v>36633</v>
      </c>
      <c r="N436" t="s">
        <v>36</v>
      </c>
      <c r="O436" t="s">
        <v>62</v>
      </c>
      <c r="P436" t="s">
        <v>51</v>
      </c>
      <c r="Q436">
        <v>44</v>
      </c>
      <c r="R436">
        <v>228.47</v>
      </c>
    </row>
    <row r="437" spans="1:18" x14ac:dyDescent="0.3">
      <c r="A437" t="s">
        <v>935</v>
      </c>
      <c r="B437" t="s">
        <v>936</v>
      </c>
      <c r="C437" t="s">
        <v>20</v>
      </c>
      <c r="D437" t="s">
        <v>21</v>
      </c>
      <c r="E437" s="4">
        <v>40300</v>
      </c>
      <c r="F437" t="s">
        <v>65</v>
      </c>
      <c r="G437" t="s">
        <v>83</v>
      </c>
      <c r="H437" t="s">
        <v>55</v>
      </c>
      <c r="I437" t="s">
        <v>34</v>
      </c>
      <c r="J437">
        <v>7</v>
      </c>
      <c r="K437">
        <v>1422</v>
      </c>
      <c r="L437">
        <v>1122.1199999999999</v>
      </c>
      <c r="M437">
        <v>48668</v>
      </c>
      <c r="N437" t="s">
        <v>36</v>
      </c>
      <c r="O437" t="s">
        <v>37</v>
      </c>
      <c r="P437" t="s">
        <v>38</v>
      </c>
      <c r="Q437">
        <v>24</v>
      </c>
      <c r="R437">
        <v>29.23</v>
      </c>
    </row>
    <row r="438" spans="1:18" x14ac:dyDescent="0.3">
      <c r="A438" t="s">
        <v>937</v>
      </c>
      <c r="B438" t="s">
        <v>938</v>
      </c>
      <c r="C438" t="s">
        <v>31</v>
      </c>
      <c r="D438" t="s">
        <v>109</v>
      </c>
      <c r="E438" s="4">
        <v>46118</v>
      </c>
      <c r="F438" t="s">
        <v>69</v>
      </c>
      <c r="G438" t="s">
        <v>102</v>
      </c>
      <c r="H438" t="s">
        <v>34</v>
      </c>
      <c r="I438" t="s">
        <v>25</v>
      </c>
      <c r="J438">
        <v>7</v>
      </c>
      <c r="K438">
        <v>234</v>
      </c>
      <c r="L438">
        <v>1792.79</v>
      </c>
      <c r="M438">
        <v>7187</v>
      </c>
      <c r="N438" t="s">
        <v>61</v>
      </c>
      <c r="O438" t="s">
        <v>62</v>
      </c>
      <c r="P438" t="s">
        <v>51</v>
      </c>
      <c r="Q438">
        <v>4</v>
      </c>
      <c r="R438">
        <v>161.56</v>
      </c>
    </row>
    <row r="439" spans="1:18" x14ac:dyDescent="0.3">
      <c r="A439" t="s">
        <v>939</v>
      </c>
      <c r="B439" t="s">
        <v>940</v>
      </c>
      <c r="C439" t="s">
        <v>97</v>
      </c>
      <c r="D439" t="s">
        <v>82</v>
      </c>
      <c r="E439" s="4">
        <v>44287</v>
      </c>
      <c r="F439" t="s">
        <v>43</v>
      </c>
      <c r="G439" t="s">
        <v>49</v>
      </c>
      <c r="H439" t="s">
        <v>24</v>
      </c>
      <c r="I439" t="s">
        <v>92</v>
      </c>
      <c r="J439">
        <v>1</v>
      </c>
      <c r="K439">
        <v>44</v>
      </c>
      <c r="L439">
        <v>4997.54</v>
      </c>
      <c r="M439">
        <v>5397</v>
      </c>
      <c r="N439" t="s">
        <v>26</v>
      </c>
      <c r="O439" t="s">
        <v>37</v>
      </c>
      <c r="P439" t="s">
        <v>45</v>
      </c>
      <c r="Q439">
        <v>35</v>
      </c>
      <c r="R439">
        <v>153.07</v>
      </c>
    </row>
    <row r="440" spans="1:18" x14ac:dyDescent="0.3">
      <c r="A440" t="s">
        <v>941</v>
      </c>
      <c r="B440" t="s">
        <v>942</v>
      </c>
      <c r="C440" t="s">
        <v>79</v>
      </c>
      <c r="D440" t="s">
        <v>21</v>
      </c>
      <c r="E440" s="4">
        <v>41465</v>
      </c>
      <c r="F440" t="s">
        <v>43</v>
      </c>
      <c r="G440" t="s">
        <v>33</v>
      </c>
      <c r="H440" t="s">
        <v>50</v>
      </c>
      <c r="I440" t="s">
        <v>34</v>
      </c>
      <c r="J440">
        <v>5</v>
      </c>
      <c r="K440">
        <v>759</v>
      </c>
      <c r="L440">
        <v>3717.64</v>
      </c>
      <c r="M440">
        <v>2094</v>
      </c>
      <c r="N440" t="s">
        <v>61</v>
      </c>
      <c r="O440" t="s">
        <v>56</v>
      </c>
      <c r="P440" t="s">
        <v>28</v>
      </c>
      <c r="Q440">
        <v>28</v>
      </c>
      <c r="R440">
        <v>50.19</v>
      </c>
    </row>
    <row r="441" spans="1:18" x14ac:dyDescent="0.3">
      <c r="A441" t="s">
        <v>943</v>
      </c>
      <c r="B441" t="s">
        <v>944</v>
      </c>
      <c r="C441" t="s">
        <v>97</v>
      </c>
      <c r="D441" t="s">
        <v>32</v>
      </c>
      <c r="E441" s="4">
        <v>40623</v>
      </c>
      <c r="F441" t="s">
        <v>60</v>
      </c>
      <c r="G441" t="s">
        <v>102</v>
      </c>
      <c r="H441" t="s">
        <v>70</v>
      </c>
      <c r="I441" t="s">
        <v>51</v>
      </c>
      <c r="J441">
        <v>2</v>
      </c>
      <c r="K441">
        <v>1153</v>
      </c>
      <c r="L441">
        <v>2282.81</v>
      </c>
      <c r="M441">
        <v>9885</v>
      </c>
      <c r="N441" t="s">
        <v>36</v>
      </c>
      <c r="O441" t="s">
        <v>27</v>
      </c>
      <c r="P441" t="s">
        <v>45</v>
      </c>
      <c r="Q441">
        <v>13</v>
      </c>
      <c r="R441">
        <v>83.44</v>
      </c>
    </row>
    <row r="442" spans="1:18" x14ac:dyDescent="0.3">
      <c r="A442" t="s">
        <v>945</v>
      </c>
      <c r="B442" t="s">
        <v>946</v>
      </c>
      <c r="C442" t="s">
        <v>20</v>
      </c>
      <c r="D442" t="s">
        <v>21</v>
      </c>
      <c r="E442" s="4">
        <v>41687</v>
      </c>
      <c r="F442" t="s">
        <v>60</v>
      </c>
      <c r="G442" t="s">
        <v>44</v>
      </c>
      <c r="H442" t="s">
        <v>50</v>
      </c>
      <c r="I442" t="s">
        <v>92</v>
      </c>
      <c r="J442">
        <v>8</v>
      </c>
      <c r="K442">
        <v>971</v>
      </c>
      <c r="L442">
        <v>627.28</v>
      </c>
      <c r="M442">
        <v>46382</v>
      </c>
      <c r="N442" t="s">
        <v>26</v>
      </c>
      <c r="O442" t="s">
        <v>56</v>
      </c>
      <c r="P442" t="s">
        <v>51</v>
      </c>
      <c r="Q442">
        <v>10</v>
      </c>
      <c r="R442">
        <v>135.53</v>
      </c>
    </row>
    <row r="443" spans="1:18" x14ac:dyDescent="0.3">
      <c r="A443" t="s">
        <v>947</v>
      </c>
      <c r="B443" t="s">
        <v>948</v>
      </c>
      <c r="C443" t="s">
        <v>116</v>
      </c>
      <c r="D443" t="s">
        <v>32</v>
      </c>
      <c r="E443" s="4">
        <v>43634</v>
      </c>
      <c r="F443" t="s">
        <v>60</v>
      </c>
      <c r="G443" t="s">
        <v>44</v>
      </c>
      <c r="H443" t="s">
        <v>24</v>
      </c>
      <c r="I443" t="s">
        <v>35</v>
      </c>
      <c r="J443">
        <v>1</v>
      </c>
      <c r="K443">
        <v>774</v>
      </c>
      <c r="L443">
        <v>2419.6799999999998</v>
      </c>
      <c r="M443">
        <v>20935</v>
      </c>
      <c r="N443" t="s">
        <v>61</v>
      </c>
      <c r="O443" t="s">
        <v>27</v>
      </c>
      <c r="P443" t="s">
        <v>51</v>
      </c>
      <c r="Q443">
        <v>31</v>
      </c>
      <c r="R443">
        <v>94.36</v>
      </c>
    </row>
    <row r="444" spans="1:18" x14ac:dyDescent="0.3">
      <c r="A444" t="s">
        <v>949</v>
      </c>
      <c r="B444" t="s">
        <v>950</v>
      </c>
      <c r="C444" t="s">
        <v>97</v>
      </c>
      <c r="D444" t="s">
        <v>42</v>
      </c>
      <c r="E444" s="4">
        <v>42715</v>
      </c>
      <c r="F444" t="s">
        <v>60</v>
      </c>
      <c r="G444" t="s">
        <v>83</v>
      </c>
      <c r="H444" t="s">
        <v>75</v>
      </c>
      <c r="I444" t="s">
        <v>35</v>
      </c>
      <c r="J444">
        <v>0</v>
      </c>
      <c r="K444">
        <v>239</v>
      </c>
      <c r="L444">
        <v>1984.75</v>
      </c>
      <c r="M444">
        <v>7079</v>
      </c>
      <c r="N444" t="s">
        <v>26</v>
      </c>
      <c r="O444" t="s">
        <v>27</v>
      </c>
      <c r="P444" t="s">
        <v>28</v>
      </c>
      <c r="Q444">
        <v>33</v>
      </c>
      <c r="R444">
        <v>107.24</v>
      </c>
    </row>
    <row r="445" spans="1:18" x14ac:dyDescent="0.3">
      <c r="A445" t="s">
        <v>951</v>
      </c>
      <c r="B445" t="s">
        <v>952</v>
      </c>
      <c r="C445" t="s">
        <v>31</v>
      </c>
      <c r="D445" t="s">
        <v>109</v>
      </c>
      <c r="E445" s="4">
        <v>43990</v>
      </c>
      <c r="F445" t="s">
        <v>60</v>
      </c>
      <c r="G445" t="s">
        <v>83</v>
      </c>
      <c r="H445" t="s">
        <v>75</v>
      </c>
      <c r="I445" t="s">
        <v>92</v>
      </c>
      <c r="J445">
        <v>6</v>
      </c>
      <c r="K445">
        <v>771</v>
      </c>
      <c r="L445">
        <v>3448.84</v>
      </c>
      <c r="M445">
        <v>39792</v>
      </c>
      <c r="N445" t="s">
        <v>61</v>
      </c>
      <c r="O445" t="s">
        <v>27</v>
      </c>
      <c r="P445" t="s">
        <v>52</v>
      </c>
      <c r="Q445">
        <v>22</v>
      </c>
      <c r="R445">
        <v>6.54</v>
      </c>
    </row>
    <row r="446" spans="1:18" x14ac:dyDescent="0.3">
      <c r="A446" t="s">
        <v>953</v>
      </c>
      <c r="B446" t="s">
        <v>954</v>
      </c>
      <c r="C446" t="s">
        <v>20</v>
      </c>
      <c r="D446" t="s">
        <v>109</v>
      </c>
      <c r="E446" s="4">
        <v>45129</v>
      </c>
      <c r="F446" t="s">
        <v>65</v>
      </c>
      <c r="G446" t="s">
        <v>44</v>
      </c>
      <c r="H446" t="s">
        <v>24</v>
      </c>
      <c r="I446" t="s">
        <v>51</v>
      </c>
      <c r="J446">
        <v>1</v>
      </c>
      <c r="K446">
        <v>1003</v>
      </c>
      <c r="L446">
        <v>1430.15</v>
      </c>
      <c r="M446">
        <v>6792</v>
      </c>
      <c r="N446" t="s">
        <v>26</v>
      </c>
      <c r="O446" t="s">
        <v>37</v>
      </c>
      <c r="P446" t="s">
        <v>45</v>
      </c>
      <c r="Q446">
        <v>32</v>
      </c>
      <c r="R446">
        <v>220.65</v>
      </c>
    </row>
    <row r="447" spans="1:18" x14ac:dyDescent="0.3">
      <c r="A447" t="s">
        <v>955</v>
      </c>
      <c r="B447" t="s">
        <v>956</v>
      </c>
      <c r="C447" t="s">
        <v>97</v>
      </c>
      <c r="D447" t="s">
        <v>42</v>
      </c>
      <c r="E447" s="4">
        <v>40987</v>
      </c>
      <c r="F447" t="s">
        <v>65</v>
      </c>
      <c r="G447" t="s">
        <v>44</v>
      </c>
      <c r="H447" t="s">
        <v>50</v>
      </c>
      <c r="I447" t="s">
        <v>92</v>
      </c>
      <c r="J447">
        <v>2</v>
      </c>
      <c r="K447">
        <v>137</v>
      </c>
      <c r="L447">
        <v>3127.2</v>
      </c>
      <c r="M447">
        <v>38985</v>
      </c>
      <c r="N447" t="s">
        <v>61</v>
      </c>
      <c r="O447" t="s">
        <v>37</v>
      </c>
      <c r="P447" t="s">
        <v>28</v>
      </c>
      <c r="Q447">
        <v>41</v>
      </c>
      <c r="R447">
        <v>22.25</v>
      </c>
    </row>
    <row r="448" spans="1:18" x14ac:dyDescent="0.3">
      <c r="A448" t="s">
        <v>957</v>
      </c>
      <c r="B448" t="s">
        <v>958</v>
      </c>
      <c r="C448" t="s">
        <v>20</v>
      </c>
      <c r="D448" t="s">
        <v>82</v>
      </c>
      <c r="E448" s="4">
        <v>42643</v>
      </c>
      <c r="F448" t="s">
        <v>43</v>
      </c>
      <c r="G448" t="s">
        <v>33</v>
      </c>
      <c r="H448" t="s">
        <v>24</v>
      </c>
      <c r="I448" t="s">
        <v>25</v>
      </c>
      <c r="J448">
        <v>6</v>
      </c>
      <c r="K448">
        <v>1392</v>
      </c>
      <c r="L448">
        <v>545.58000000000004</v>
      </c>
      <c r="M448">
        <v>3335</v>
      </c>
      <c r="N448" t="s">
        <v>26</v>
      </c>
      <c r="O448" t="s">
        <v>37</v>
      </c>
      <c r="P448" t="s">
        <v>51</v>
      </c>
      <c r="Q448">
        <v>24</v>
      </c>
      <c r="R448">
        <v>80.260000000000005</v>
      </c>
    </row>
    <row r="449" spans="1:18" x14ac:dyDescent="0.3">
      <c r="A449" t="s">
        <v>959</v>
      </c>
      <c r="B449" t="s">
        <v>960</v>
      </c>
      <c r="C449" t="s">
        <v>97</v>
      </c>
      <c r="D449" t="s">
        <v>32</v>
      </c>
      <c r="E449" s="4">
        <v>43779</v>
      </c>
      <c r="F449" t="s">
        <v>43</v>
      </c>
      <c r="G449" t="s">
        <v>102</v>
      </c>
      <c r="H449" t="s">
        <v>34</v>
      </c>
      <c r="I449" t="s">
        <v>51</v>
      </c>
      <c r="J449">
        <v>8</v>
      </c>
      <c r="K449">
        <v>998</v>
      </c>
      <c r="L449">
        <v>684.02</v>
      </c>
      <c r="M449">
        <v>38233</v>
      </c>
      <c r="N449" t="s">
        <v>26</v>
      </c>
      <c r="O449" t="s">
        <v>27</v>
      </c>
      <c r="P449" t="s">
        <v>25</v>
      </c>
      <c r="Q449">
        <v>44</v>
      </c>
      <c r="R449">
        <v>60.98</v>
      </c>
    </row>
    <row r="450" spans="1:18" x14ac:dyDescent="0.3">
      <c r="A450" t="s">
        <v>961</v>
      </c>
      <c r="B450" t="s">
        <v>962</v>
      </c>
      <c r="C450" t="s">
        <v>116</v>
      </c>
      <c r="D450" t="s">
        <v>82</v>
      </c>
      <c r="E450" s="4">
        <v>41505</v>
      </c>
      <c r="F450" t="s">
        <v>65</v>
      </c>
      <c r="G450" t="s">
        <v>33</v>
      </c>
      <c r="H450" t="s">
        <v>75</v>
      </c>
      <c r="I450" t="s">
        <v>34</v>
      </c>
      <c r="J450">
        <v>4</v>
      </c>
      <c r="K450">
        <v>774</v>
      </c>
      <c r="L450">
        <v>2771.03</v>
      </c>
      <c r="M450">
        <v>20967</v>
      </c>
      <c r="N450" t="s">
        <v>36</v>
      </c>
      <c r="O450" t="s">
        <v>37</v>
      </c>
      <c r="P450" t="s">
        <v>25</v>
      </c>
      <c r="Q450">
        <v>46</v>
      </c>
      <c r="R450">
        <v>110.74</v>
      </c>
    </row>
    <row r="451" spans="1:18" x14ac:dyDescent="0.3">
      <c r="A451" t="s">
        <v>963</v>
      </c>
      <c r="B451" t="s">
        <v>964</v>
      </c>
      <c r="C451" t="s">
        <v>79</v>
      </c>
      <c r="D451" t="s">
        <v>42</v>
      </c>
      <c r="E451" s="4">
        <v>44629</v>
      </c>
      <c r="F451" t="s">
        <v>69</v>
      </c>
      <c r="G451" t="s">
        <v>33</v>
      </c>
      <c r="H451" t="s">
        <v>75</v>
      </c>
      <c r="I451" t="s">
        <v>76</v>
      </c>
      <c r="J451">
        <v>4</v>
      </c>
      <c r="K451">
        <v>246</v>
      </c>
      <c r="L451">
        <v>3198.65</v>
      </c>
      <c r="M451">
        <v>34150</v>
      </c>
      <c r="N451" t="s">
        <v>36</v>
      </c>
      <c r="O451" t="s">
        <v>56</v>
      </c>
      <c r="P451" t="s">
        <v>25</v>
      </c>
      <c r="Q451">
        <v>26</v>
      </c>
      <c r="R451">
        <v>154.26</v>
      </c>
    </row>
    <row r="452" spans="1:18" x14ac:dyDescent="0.3">
      <c r="A452" t="s">
        <v>965</v>
      </c>
      <c r="B452" t="s">
        <v>966</v>
      </c>
      <c r="C452" t="s">
        <v>68</v>
      </c>
      <c r="D452" t="s">
        <v>32</v>
      </c>
      <c r="E452" s="4">
        <v>45187</v>
      </c>
      <c r="F452" t="s">
        <v>48</v>
      </c>
      <c r="G452" t="s">
        <v>23</v>
      </c>
      <c r="H452" t="s">
        <v>50</v>
      </c>
      <c r="I452" t="s">
        <v>51</v>
      </c>
      <c r="J452">
        <v>5</v>
      </c>
      <c r="K452">
        <v>255</v>
      </c>
      <c r="L452">
        <v>3638.34</v>
      </c>
      <c r="M452">
        <v>43782</v>
      </c>
      <c r="N452" t="s">
        <v>61</v>
      </c>
      <c r="O452" t="s">
        <v>56</v>
      </c>
      <c r="P452" t="s">
        <v>45</v>
      </c>
      <c r="Q452">
        <v>13</v>
      </c>
      <c r="R452">
        <v>193.39</v>
      </c>
    </row>
    <row r="453" spans="1:18" x14ac:dyDescent="0.3">
      <c r="A453" t="s">
        <v>967</v>
      </c>
      <c r="B453" t="s">
        <v>968</v>
      </c>
      <c r="C453" t="s">
        <v>68</v>
      </c>
      <c r="D453" t="s">
        <v>32</v>
      </c>
      <c r="E453" s="4">
        <v>42776</v>
      </c>
      <c r="F453" t="s">
        <v>22</v>
      </c>
      <c r="G453" t="s">
        <v>83</v>
      </c>
      <c r="H453" t="s">
        <v>70</v>
      </c>
      <c r="I453" t="s">
        <v>92</v>
      </c>
      <c r="J453">
        <v>4</v>
      </c>
      <c r="K453">
        <v>9</v>
      </c>
      <c r="L453">
        <v>1902.78</v>
      </c>
      <c r="M453">
        <v>40765</v>
      </c>
      <c r="N453" t="s">
        <v>61</v>
      </c>
      <c r="O453" t="s">
        <v>62</v>
      </c>
      <c r="P453" t="s">
        <v>51</v>
      </c>
      <c r="Q453">
        <v>27</v>
      </c>
      <c r="R453">
        <v>34.450000000000003</v>
      </c>
    </row>
    <row r="454" spans="1:18" x14ac:dyDescent="0.3">
      <c r="A454" t="s">
        <v>969</v>
      </c>
      <c r="B454" t="s">
        <v>970</v>
      </c>
      <c r="C454" t="s">
        <v>31</v>
      </c>
      <c r="D454" t="s">
        <v>59</v>
      </c>
      <c r="E454" s="4">
        <v>43413</v>
      </c>
      <c r="F454" t="s">
        <v>22</v>
      </c>
      <c r="G454" t="s">
        <v>102</v>
      </c>
      <c r="H454" t="s">
        <v>75</v>
      </c>
      <c r="I454" t="s">
        <v>76</v>
      </c>
      <c r="J454">
        <v>5</v>
      </c>
      <c r="K454">
        <v>1292</v>
      </c>
      <c r="L454">
        <v>507.79</v>
      </c>
      <c r="M454">
        <v>37534</v>
      </c>
      <c r="N454" t="s">
        <v>61</v>
      </c>
      <c r="O454" t="s">
        <v>62</v>
      </c>
      <c r="P454" t="s">
        <v>28</v>
      </c>
      <c r="Q454">
        <v>46</v>
      </c>
      <c r="R454">
        <v>112.44</v>
      </c>
    </row>
    <row r="455" spans="1:18" x14ac:dyDescent="0.3">
      <c r="A455" t="s">
        <v>971</v>
      </c>
      <c r="B455" t="s">
        <v>972</v>
      </c>
      <c r="C455" t="s">
        <v>41</v>
      </c>
      <c r="D455" t="s">
        <v>42</v>
      </c>
      <c r="E455" s="4">
        <v>44104</v>
      </c>
      <c r="F455" t="s">
        <v>65</v>
      </c>
      <c r="G455" t="s">
        <v>23</v>
      </c>
      <c r="H455" t="s">
        <v>70</v>
      </c>
      <c r="I455" t="s">
        <v>25</v>
      </c>
      <c r="J455">
        <v>5</v>
      </c>
      <c r="K455">
        <v>536</v>
      </c>
      <c r="L455">
        <v>937.81</v>
      </c>
      <c r="M455">
        <v>28143</v>
      </c>
      <c r="N455" t="s">
        <v>26</v>
      </c>
      <c r="O455" t="s">
        <v>37</v>
      </c>
      <c r="P455" t="s">
        <v>52</v>
      </c>
      <c r="Q455">
        <v>44</v>
      </c>
      <c r="R455">
        <v>171.75</v>
      </c>
    </row>
    <row r="456" spans="1:18" x14ac:dyDescent="0.3">
      <c r="A456" t="s">
        <v>973</v>
      </c>
      <c r="B456" t="s">
        <v>974</v>
      </c>
      <c r="C456" t="s">
        <v>31</v>
      </c>
      <c r="D456" t="s">
        <v>82</v>
      </c>
      <c r="E456" s="4">
        <v>44960</v>
      </c>
      <c r="F456" t="s">
        <v>60</v>
      </c>
      <c r="G456" t="s">
        <v>33</v>
      </c>
      <c r="H456" t="s">
        <v>24</v>
      </c>
      <c r="I456" t="s">
        <v>76</v>
      </c>
      <c r="J456">
        <v>4</v>
      </c>
      <c r="K456">
        <v>432</v>
      </c>
      <c r="L456">
        <v>1769.98</v>
      </c>
      <c r="M456">
        <v>16737</v>
      </c>
      <c r="N456" t="s">
        <v>36</v>
      </c>
      <c r="O456" t="s">
        <v>62</v>
      </c>
      <c r="P456" t="s">
        <v>38</v>
      </c>
      <c r="Q456">
        <v>9</v>
      </c>
      <c r="R456">
        <v>73.87</v>
      </c>
    </row>
    <row r="457" spans="1:18" x14ac:dyDescent="0.3">
      <c r="A457" t="s">
        <v>975</v>
      </c>
      <c r="B457" t="s">
        <v>976</v>
      </c>
      <c r="C457" t="s">
        <v>68</v>
      </c>
      <c r="D457" t="s">
        <v>82</v>
      </c>
      <c r="E457" s="4">
        <v>41089</v>
      </c>
      <c r="F457" t="s">
        <v>22</v>
      </c>
      <c r="G457" t="s">
        <v>33</v>
      </c>
      <c r="H457" t="s">
        <v>55</v>
      </c>
      <c r="I457" t="s">
        <v>25</v>
      </c>
      <c r="J457">
        <v>1</v>
      </c>
      <c r="K457">
        <v>309</v>
      </c>
      <c r="L457">
        <v>2318.84</v>
      </c>
      <c r="M457">
        <v>44353</v>
      </c>
      <c r="N457" t="s">
        <v>36</v>
      </c>
      <c r="O457" t="s">
        <v>27</v>
      </c>
      <c r="P457" t="s">
        <v>38</v>
      </c>
      <c r="Q457">
        <v>8</v>
      </c>
      <c r="R457">
        <v>215.8</v>
      </c>
    </row>
    <row r="458" spans="1:18" x14ac:dyDescent="0.3">
      <c r="A458" t="s">
        <v>977</v>
      </c>
      <c r="B458" t="s">
        <v>978</v>
      </c>
      <c r="C458" t="s">
        <v>68</v>
      </c>
      <c r="D458" t="s">
        <v>32</v>
      </c>
      <c r="E458" s="4">
        <v>45831</v>
      </c>
      <c r="F458" t="s">
        <v>22</v>
      </c>
      <c r="G458" t="s">
        <v>44</v>
      </c>
      <c r="H458" t="s">
        <v>34</v>
      </c>
      <c r="I458" t="s">
        <v>51</v>
      </c>
      <c r="J458">
        <v>3</v>
      </c>
      <c r="K458">
        <v>4</v>
      </c>
      <c r="L458">
        <v>4909.83</v>
      </c>
      <c r="M458">
        <v>30842</v>
      </c>
      <c r="N458" t="s">
        <v>61</v>
      </c>
      <c r="O458" t="s">
        <v>37</v>
      </c>
      <c r="P458" t="s">
        <v>28</v>
      </c>
      <c r="Q458">
        <v>12</v>
      </c>
      <c r="R458">
        <v>160.44</v>
      </c>
    </row>
    <row r="459" spans="1:18" x14ac:dyDescent="0.3">
      <c r="A459" t="s">
        <v>979</v>
      </c>
      <c r="B459" t="s">
        <v>980</v>
      </c>
      <c r="C459" t="s">
        <v>68</v>
      </c>
      <c r="D459" t="s">
        <v>82</v>
      </c>
      <c r="E459" s="4">
        <v>44447</v>
      </c>
      <c r="F459" t="s">
        <v>60</v>
      </c>
      <c r="G459" t="s">
        <v>49</v>
      </c>
      <c r="H459" t="s">
        <v>75</v>
      </c>
      <c r="I459" t="s">
        <v>76</v>
      </c>
      <c r="J459">
        <v>0</v>
      </c>
      <c r="K459">
        <v>1161</v>
      </c>
      <c r="L459">
        <v>4652.03</v>
      </c>
      <c r="M459">
        <v>15152</v>
      </c>
      <c r="N459" t="s">
        <v>36</v>
      </c>
      <c r="O459" t="s">
        <v>37</v>
      </c>
      <c r="P459" t="s">
        <v>45</v>
      </c>
      <c r="Q459">
        <v>11</v>
      </c>
      <c r="R459">
        <v>16.899999999999999</v>
      </c>
    </row>
    <row r="460" spans="1:18" x14ac:dyDescent="0.3">
      <c r="A460" t="s">
        <v>981</v>
      </c>
      <c r="B460" t="s">
        <v>982</v>
      </c>
      <c r="C460" t="s">
        <v>116</v>
      </c>
      <c r="D460" t="s">
        <v>59</v>
      </c>
      <c r="E460" s="4">
        <v>40654</v>
      </c>
      <c r="F460" t="s">
        <v>48</v>
      </c>
      <c r="G460" t="s">
        <v>44</v>
      </c>
      <c r="H460" t="s">
        <v>70</v>
      </c>
      <c r="I460" t="s">
        <v>35</v>
      </c>
      <c r="J460">
        <v>2</v>
      </c>
      <c r="K460">
        <v>453</v>
      </c>
      <c r="L460">
        <v>2181.33</v>
      </c>
      <c r="M460">
        <v>47331</v>
      </c>
      <c r="N460" t="s">
        <v>36</v>
      </c>
      <c r="O460" t="s">
        <v>56</v>
      </c>
      <c r="P460" t="s">
        <v>25</v>
      </c>
      <c r="Q460">
        <v>21</v>
      </c>
      <c r="R460">
        <v>128.63999999999999</v>
      </c>
    </row>
    <row r="461" spans="1:18" x14ac:dyDescent="0.3">
      <c r="A461" t="s">
        <v>983</v>
      </c>
      <c r="B461" t="s">
        <v>984</v>
      </c>
      <c r="C461" t="s">
        <v>116</v>
      </c>
      <c r="D461" t="s">
        <v>109</v>
      </c>
      <c r="E461" s="4">
        <v>41356</v>
      </c>
      <c r="F461" t="s">
        <v>65</v>
      </c>
      <c r="G461" t="s">
        <v>49</v>
      </c>
      <c r="H461" t="s">
        <v>50</v>
      </c>
      <c r="I461" t="s">
        <v>35</v>
      </c>
      <c r="J461">
        <v>7</v>
      </c>
      <c r="K461">
        <v>1467</v>
      </c>
      <c r="L461">
        <v>4742.03</v>
      </c>
      <c r="M461">
        <v>16250</v>
      </c>
      <c r="N461" t="s">
        <v>26</v>
      </c>
      <c r="O461" t="s">
        <v>37</v>
      </c>
      <c r="P461" t="s">
        <v>25</v>
      </c>
      <c r="Q461">
        <v>10</v>
      </c>
      <c r="R461">
        <v>1.37</v>
      </c>
    </row>
    <row r="462" spans="1:18" x14ac:dyDescent="0.3">
      <c r="A462" t="s">
        <v>985</v>
      </c>
      <c r="B462" t="s">
        <v>986</v>
      </c>
      <c r="C462" t="s">
        <v>97</v>
      </c>
      <c r="D462" t="s">
        <v>32</v>
      </c>
      <c r="E462" s="4">
        <v>40684</v>
      </c>
      <c r="F462" t="s">
        <v>69</v>
      </c>
      <c r="G462" t="s">
        <v>33</v>
      </c>
      <c r="H462" t="s">
        <v>34</v>
      </c>
      <c r="I462" t="s">
        <v>25</v>
      </c>
      <c r="J462">
        <v>1</v>
      </c>
      <c r="K462">
        <v>1293</v>
      </c>
      <c r="L462">
        <v>1134.9100000000001</v>
      </c>
      <c r="M462">
        <v>42600</v>
      </c>
      <c r="N462" t="s">
        <v>36</v>
      </c>
      <c r="O462" t="s">
        <v>27</v>
      </c>
      <c r="P462" t="s">
        <v>45</v>
      </c>
      <c r="Q462">
        <v>2</v>
      </c>
      <c r="R462">
        <v>102</v>
      </c>
    </row>
    <row r="463" spans="1:18" x14ac:dyDescent="0.3">
      <c r="A463" t="s">
        <v>987</v>
      </c>
      <c r="B463" t="s">
        <v>988</v>
      </c>
      <c r="C463" t="s">
        <v>68</v>
      </c>
      <c r="D463" t="s">
        <v>21</v>
      </c>
      <c r="E463" s="4">
        <v>43970</v>
      </c>
      <c r="F463" t="s">
        <v>22</v>
      </c>
      <c r="G463" t="s">
        <v>33</v>
      </c>
      <c r="H463" t="s">
        <v>75</v>
      </c>
      <c r="I463" t="s">
        <v>76</v>
      </c>
      <c r="J463">
        <v>8</v>
      </c>
      <c r="K463">
        <v>73</v>
      </c>
      <c r="L463">
        <v>3298.38</v>
      </c>
      <c r="M463">
        <v>18212</v>
      </c>
      <c r="N463" t="s">
        <v>36</v>
      </c>
      <c r="O463" t="s">
        <v>27</v>
      </c>
      <c r="P463" t="s">
        <v>51</v>
      </c>
      <c r="Q463">
        <v>18</v>
      </c>
      <c r="R463">
        <v>53.6</v>
      </c>
    </row>
    <row r="464" spans="1:18" x14ac:dyDescent="0.3">
      <c r="A464" t="s">
        <v>989</v>
      </c>
      <c r="B464" t="s">
        <v>990</v>
      </c>
      <c r="C464" t="s">
        <v>116</v>
      </c>
      <c r="D464" t="s">
        <v>21</v>
      </c>
      <c r="E464" s="4">
        <v>40332</v>
      </c>
      <c r="F464" t="s">
        <v>65</v>
      </c>
      <c r="G464" t="s">
        <v>23</v>
      </c>
      <c r="H464" t="s">
        <v>24</v>
      </c>
      <c r="I464" t="s">
        <v>51</v>
      </c>
      <c r="J464">
        <v>6</v>
      </c>
      <c r="K464">
        <v>395</v>
      </c>
      <c r="L464">
        <v>3542.25</v>
      </c>
      <c r="M464">
        <v>35187</v>
      </c>
      <c r="N464" t="s">
        <v>26</v>
      </c>
      <c r="O464" t="s">
        <v>37</v>
      </c>
      <c r="P464" t="s">
        <v>28</v>
      </c>
      <c r="Q464">
        <v>6</v>
      </c>
      <c r="R464">
        <v>76.430000000000007</v>
      </c>
    </row>
    <row r="465" spans="1:18" x14ac:dyDescent="0.3">
      <c r="A465" t="s">
        <v>991</v>
      </c>
      <c r="B465" t="s">
        <v>992</v>
      </c>
      <c r="C465" t="s">
        <v>79</v>
      </c>
      <c r="D465" t="s">
        <v>109</v>
      </c>
      <c r="E465" s="4">
        <v>43957</v>
      </c>
      <c r="F465" t="s">
        <v>60</v>
      </c>
      <c r="G465" t="s">
        <v>33</v>
      </c>
      <c r="H465" t="s">
        <v>34</v>
      </c>
      <c r="I465" t="s">
        <v>35</v>
      </c>
      <c r="J465">
        <v>0</v>
      </c>
      <c r="K465">
        <v>197</v>
      </c>
      <c r="L465">
        <v>244.4</v>
      </c>
      <c r="M465">
        <v>22077</v>
      </c>
      <c r="N465" t="s">
        <v>36</v>
      </c>
      <c r="O465" t="s">
        <v>37</v>
      </c>
      <c r="P465" t="s">
        <v>51</v>
      </c>
      <c r="Q465">
        <v>14</v>
      </c>
      <c r="R465">
        <v>208.04</v>
      </c>
    </row>
    <row r="466" spans="1:18" x14ac:dyDescent="0.3">
      <c r="A466" t="s">
        <v>993</v>
      </c>
      <c r="B466" t="s">
        <v>994</v>
      </c>
      <c r="C466" t="s">
        <v>31</v>
      </c>
      <c r="D466" t="s">
        <v>42</v>
      </c>
      <c r="E466" s="4">
        <v>43616</v>
      </c>
      <c r="F466" t="s">
        <v>43</v>
      </c>
      <c r="G466" t="s">
        <v>49</v>
      </c>
      <c r="H466" t="s">
        <v>24</v>
      </c>
      <c r="I466" t="s">
        <v>76</v>
      </c>
      <c r="J466">
        <v>3</v>
      </c>
      <c r="K466">
        <v>74</v>
      </c>
      <c r="L466">
        <v>3420.97</v>
      </c>
      <c r="M466">
        <v>15973</v>
      </c>
      <c r="N466" t="s">
        <v>26</v>
      </c>
      <c r="O466" t="s">
        <v>62</v>
      </c>
      <c r="P466" t="s">
        <v>38</v>
      </c>
      <c r="Q466">
        <v>14</v>
      </c>
      <c r="R466">
        <v>187.88</v>
      </c>
    </row>
    <row r="467" spans="1:18" x14ac:dyDescent="0.3">
      <c r="A467" t="s">
        <v>995</v>
      </c>
      <c r="B467" t="s">
        <v>996</v>
      </c>
      <c r="C467" t="s">
        <v>20</v>
      </c>
      <c r="D467" t="s">
        <v>21</v>
      </c>
      <c r="E467" s="4">
        <v>45283</v>
      </c>
      <c r="F467" t="s">
        <v>22</v>
      </c>
      <c r="G467" t="s">
        <v>33</v>
      </c>
      <c r="H467" t="s">
        <v>55</v>
      </c>
      <c r="I467" t="s">
        <v>34</v>
      </c>
      <c r="J467">
        <v>0</v>
      </c>
      <c r="K467">
        <v>272</v>
      </c>
      <c r="L467">
        <v>1648.39</v>
      </c>
      <c r="M467">
        <v>21063</v>
      </c>
      <c r="N467" t="s">
        <v>36</v>
      </c>
      <c r="O467" t="s">
        <v>62</v>
      </c>
      <c r="P467" t="s">
        <v>38</v>
      </c>
      <c r="Q467">
        <v>44</v>
      </c>
      <c r="R467">
        <v>6.7</v>
      </c>
    </row>
    <row r="468" spans="1:18" x14ac:dyDescent="0.3">
      <c r="A468" t="s">
        <v>997</v>
      </c>
      <c r="B468" t="s">
        <v>998</v>
      </c>
      <c r="C468" t="s">
        <v>116</v>
      </c>
      <c r="D468" t="s">
        <v>82</v>
      </c>
      <c r="E468" s="4">
        <v>42101</v>
      </c>
      <c r="F468" t="s">
        <v>65</v>
      </c>
      <c r="G468" t="s">
        <v>23</v>
      </c>
      <c r="H468" t="s">
        <v>50</v>
      </c>
      <c r="I468" t="s">
        <v>25</v>
      </c>
      <c r="J468">
        <v>3</v>
      </c>
      <c r="K468">
        <v>1403</v>
      </c>
      <c r="L468">
        <v>3257.69</v>
      </c>
      <c r="M468">
        <v>47309</v>
      </c>
      <c r="N468" t="s">
        <v>36</v>
      </c>
      <c r="O468" t="s">
        <v>27</v>
      </c>
      <c r="P468" t="s">
        <v>38</v>
      </c>
      <c r="Q468">
        <v>49</v>
      </c>
      <c r="R468">
        <v>243.17</v>
      </c>
    </row>
    <row r="469" spans="1:18" x14ac:dyDescent="0.3">
      <c r="A469" t="s">
        <v>999</v>
      </c>
      <c r="B469" t="s">
        <v>1000</v>
      </c>
      <c r="C469" t="s">
        <v>41</v>
      </c>
      <c r="D469" t="s">
        <v>21</v>
      </c>
      <c r="E469" s="4">
        <v>40582</v>
      </c>
      <c r="F469" t="s">
        <v>65</v>
      </c>
      <c r="G469" t="s">
        <v>23</v>
      </c>
      <c r="H469" t="s">
        <v>34</v>
      </c>
      <c r="I469" t="s">
        <v>51</v>
      </c>
      <c r="J469">
        <v>8</v>
      </c>
      <c r="K469">
        <v>415</v>
      </c>
      <c r="L469">
        <v>2893.25</v>
      </c>
      <c r="M469">
        <v>4743</v>
      </c>
      <c r="N469" t="s">
        <v>36</v>
      </c>
      <c r="O469" t="s">
        <v>37</v>
      </c>
      <c r="P469" t="s">
        <v>45</v>
      </c>
      <c r="Q469">
        <v>17</v>
      </c>
      <c r="R469">
        <v>179.79</v>
      </c>
    </row>
    <row r="470" spans="1:18" x14ac:dyDescent="0.3">
      <c r="A470" t="s">
        <v>1001</v>
      </c>
      <c r="B470" t="s">
        <v>1002</v>
      </c>
      <c r="C470" t="s">
        <v>68</v>
      </c>
      <c r="D470" t="s">
        <v>59</v>
      </c>
      <c r="E470" s="4">
        <v>44653</v>
      </c>
      <c r="F470" t="s">
        <v>65</v>
      </c>
      <c r="G470" t="s">
        <v>44</v>
      </c>
      <c r="H470" t="s">
        <v>34</v>
      </c>
      <c r="I470" t="s">
        <v>92</v>
      </c>
      <c r="J470">
        <v>2</v>
      </c>
      <c r="K470">
        <v>554</v>
      </c>
      <c r="L470">
        <v>1318.82</v>
      </c>
      <c r="M470">
        <v>6664</v>
      </c>
      <c r="N470" t="s">
        <v>26</v>
      </c>
      <c r="O470" t="s">
        <v>37</v>
      </c>
      <c r="P470" t="s">
        <v>52</v>
      </c>
      <c r="Q470">
        <v>49</v>
      </c>
      <c r="R470">
        <v>69.27</v>
      </c>
    </row>
    <row r="471" spans="1:18" x14ac:dyDescent="0.3">
      <c r="A471" t="s">
        <v>1003</v>
      </c>
      <c r="B471" t="s">
        <v>1004</v>
      </c>
      <c r="C471" t="s">
        <v>31</v>
      </c>
      <c r="D471" t="s">
        <v>21</v>
      </c>
      <c r="E471" s="4">
        <v>40542</v>
      </c>
      <c r="F471" t="s">
        <v>60</v>
      </c>
      <c r="G471" t="s">
        <v>33</v>
      </c>
      <c r="H471" t="s">
        <v>24</v>
      </c>
      <c r="I471" t="s">
        <v>92</v>
      </c>
      <c r="J471">
        <v>0</v>
      </c>
      <c r="K471">
        <v>1395</v>
      </c>
      <c r="L471">
        <v>1377.61</v>
      </c>
      <c r="M471">
        <v>2013</v>
      </c>
      <c r="N471" t="s">
        <v>26</v>
      </c>
      <c r="O471" t="s">
        <v>37</v>
      </c>
      <c r="P471" t="s">
        <v>45</v>
      </c>
      <c r="Q471">
        <v>12</v>
      </c>
      <c r="R471">
        <v>185.56</v>
      </c>
    </row>
    <row r="472" spans="1:18" x14ac:dyDescent="0.3">
      <c r="A472" t="s">
        <v>1005</v>
      </c>
      <c r="B472" t="s">
        <v>1006</v>
      </c>
      <c r="C472" t="s">
        <v>41</v>
      </c>
      <c r="D472" t="s">
        <v>59</v>
      </c>
      <c r="E472" s="4">
        <v>41921</v>
      </c>
      <c r="F472" t="s">
        <v>60</v>
      </c>
      <c r="G472" t="s">
        <v>33</v>
      </c>
      <c r="H472" t="s">
        <v>75</v>
      </c>
      <c r="I472" t="s">
        <v>92</v>
      </c>
      <c r="J472">
        <v>8</v>
      </c>
      <c r="K472">
        <v>115</v>
      </c>
      <c r="L472">
        <v>662.54</v>
      </c>
      <c r="M472">
        <v>2709</v>
      </c>
      <c r="N472" t="s">
        <v>61</v>
      </c>
      <c r="O472" t="s">
        <v>27</v>
      </c>
      <c r="P472" t="s">
        <v>25</v>
      </c>
      <c r="Q472">
        <v>13</v>
      </c>
      <c r="R472">
        <v>43.72</v>
      </c>
    </row>
    <row r="473" spans="1:18" x14ac:dyDescent="0.3">
      <c r="A473" t="s">
        <v>1007</v>
      </c>
      <c r="B473" t="s">
        <v>1008</v>
      </c>
      <c r="C473" t="s">
        <v>41</v>
      </c>
      <c r="D473" t="s">
        <v>109</v>
      </c>
      <c r="E473" s="4">
        <v>41035</v>
      </c>
      <c r="F473" t="s">
        <v>48</v>
      </c>
      <c r="G473" t="s">
        <v>33</v>
      </c>
      <c r="H473" t="s">
        <v>24</v>
      </c>
      <c r="I473" t="s">
        <v>35</v>
      </c>
      <c r="J473">
        <v>5</v>
      </c>
      <c r="K473">
        <v>1038</v>
      </c>
      <c r="L473">
        <v>4303.12</v>
      </c>
      <c r="M473">
        <v>29791</v>
      </c>
      <c r="N473" t="s">
        <v>36</v>
      </c>
      <c r="O473" t="s">
        <v>37</v>
      </c>
      <c r="P473" t="s">
        <v>52</v>
      </c>
      <c r="Q473">
        <v>24</v>
      </c>
      <c r="R473">
        <v>161.94999999999999</v>
      </c>
    </row>
    <row r="474" spans="1:18" x14ac:dyDescent="0.3">
      <c r="A474" t="s">
        <v>1009</v>
      </c>
      <c r="B474" t="s">
        <v>1010</v>
      </c>
      <c r="C474" t="s">
        <v>31</v>
      </c>
      <c r="D474" t="s">
        <v>59</v>
      </c>
      <c r="E474" s="4">
        <v>45421</v>
      </c>
      <c r="F474" t="s">
        <v>65</v>
      </c>
      <c r="G474" t="s">
        <v>102</v>
      </c>
      <c r="H474" t="s">
        <v>75</v>
      </c>
      <c r="I474" t="s">
        <v>25</v>
      </c>
      <c r="J474">
        <v>5</v>
      </c>
      <c r="K474">
        <v>1475</v>
      </c>
      <c r="L474">
        <v>1066.46</v>
      </c>
      <c r="M474">
        <v>28706</v>
      </c>
      <c r="N474" t="s">
        <v>26</v>
      </c>
      <c r="O474" t="s">
        <v>62</v>
      </c>
      <c r="P474" t="s">
        <v>52</v>
      </c>
      <c r="Q474">
        <v>43</v>
      </c>
      <c r="R474">
        <v>15.42</v>
      </c>
    </row>
    <row r="475" spans="1:18" x14ac:dyDescent="0.3">
      <c r="A475" t="s">
        <v>1011</v>
      </c>
      <c r="B475" t="s">
        <v>1012</v>
      </c>
      <c r="C475" t="s">
        <v>97</v>
      </c>
      <c r="D475" t="s">
        <v>82</v>
      </c>
      <c r="E475" s="4">
        <v>43133</v>
      </c>
      <c r="F475" t="s">
        <v>60</v>
      </c>
      <c r="G475" t="s">
        <v>44</v>
      </c>
      <c r="H475" t="s">
        <v>50</v>
      </c>
      <c r="I475" t="s">
        <v>25</v>
      </c>
      <c r="J475">
        <v>5</v>
      </c>
      <c r="K475">
        <v>1342</v>
      </c>
      <c r="L475">
        <v>358.53</v>
      </c>
      <c r="M475">
        <v>15264</v>
      </c>
      <c r="N475" t="s">
        <v>26</v>
      </c>
      <c r="O475" t="s">
        <v>62</v>
      </c>
      <c r="P475" t="s">
        <v>28</v>
      </c>
      <c r="Q475">
        <v>30</v>
      </c>
      <c r="R475">
        <v>84.17</v>
      </c>
    </row>
    <row r="476" spans="1:18" x14ac:dyDescent="0.3">
      <c r="A476" t="s">
        <v>1013</v>
      </c>
      <c r="B476" t="s">
        <v>1014</v>
      </c>
      <c r="C476" t="s">
        <v>31</v>
      </c>
      <c r="D476" t="s">
        <v>21</v>
      </c>
      <c r="E476" s="4">
        <v>42529</v>
      </c>
      <c r="F476" t="s">
        <v>60</v>
      </c>
      <c r="G476" t="s">
        <v>44</v>
      </c>
      <c r="H476" t="s">
        <v>75</v>
      </c>
      <c r="I476" t="s">
        <v>34</v>
      </c>
      <c r="J476">
        <v>5</v>
      </c>
      <c r="K476">
        <v>1425</v>
      </c>
      <c r="L476">
        <v>2497.08</v>
      </c>
      <c r="M476">
        <v>34544</v>
      </c>
      <c r="N476" t="s">
        <v>61</v>
      </c>
      <c r="O476" t="s">
        <v>27</v>
      </c>
      <c r="P476" t="s">
        <v>28</v>
      </c>
      <c r="Q476">
        <v>29</v>
      </c>
      <c r="R476">
        <v>221.86</v>
      </c>
    </row>
    <row r="477" spans="1:18" x14ac:dyDescent="0.3">
      <c r="A477" t="s">
        <v>1015</v>
      </c>
      <c r="B477" t="s">
        <v>1016</v>
      </c>
      <c r="C477" t="s">
        <v>41</v>
      </c>
      <c r="D477" t="s">
        <v>109</v>
      </c>
      <c r="E477" s="4">
        <v>45527</v>
      </c>
      <c r="F477" t="s">
        <v>22</v>
      </c>
      <c r="G477" t="s">
        <v>44</v>
      </c>
      <c r="H477" t="s">
        <v>34</v>
      </c>
      <c r="I477" t="s">
        <v>51</v>
      </c>
      <c r="J477">
        <v>5</v>
      </c>
      <c r="K477">
        <v>1220</v>
      </c>
      <c r="L477">
        <v>2745.58</v>
      </c>
      <c r="M477">
        <v>45264</v>
      </c>
      <c r="N477" t="s">
        <v>36</v>
      </c>
      <c r="O477" t="s">
        <v>27</v>
      </c>
      <c r="P477" t="s">
        <v>52</v>
      </c>
      <c r="Q477">
        <v>28</v>
      </c>
      <c r="R477">
        <v>239.29</v>
      </c>
    </row>
    <row r="478" spans="1:18" x14ac:dyDescent="0.3">
      <c r="A478" t="s">
        <v>1017</v>
      </c>
      <c r="B478" t="s">
        <v>1018</v>
      </c>
      <c r="C478" t="s">
        <v>79</v>
      </c>
      <c r="D478" t="s">
        <v>21</v>
      </c>
      <c r="E478" s="4">
        <v>42108</v>
      </c>
      <c r="F478" t="s">
        <v>43</v>
      </c>
      <c r="G478" t="s">
        <v>102</v>
      </c>
      <c r="H478" t="s">
        <v>50</v>
      </c>
      <c r="I478" t="s">
        <v>76</v>
      </c>
      <c r="J478">
        <v>6</v>
      </c>
      <c r="K478">
        <v>539</v>
      </c>
      <c r="L478">
        <v>4485.2299999999996</v>
      </c>
      <c r="M478">
        <v>7879</v>
      </c>
      <c r="N478" t="s">
        <v>26</v>
      </c>
      <c r="O478" t="s">
        <v>62</v>
      </c>
      <c r="P478" t="s">
        <v>25</v>
      </c>
      <c r="Q478">
        <v>1</v>
      </c>
      <c r="R478">
        <v>239.27</v>
      </c>
    </row>
    <row r="479" spans="1:18" x14ac:dyDescent="0.3">
      <c r="A479" t="s">
        <v>1019</v>
      </c>
      <c r="B479" t="s">
        <v>1020</v>
      </c>
      <c r="C479" t="s">
        <v>20</v>
      </c>
      <c r="D479" t="s">
        <v>32</v>
      </c>
      <c r="E479" s="4">
        <v>40904</v>
      </c>
      <c r="F479" t="s">
        <v>43</v>
      </c>
      <c r="G479" t="s">
        <v>83</v>
      </c>
      <c r="H479" t="s">
        <v>24</v>
      </c>
      <c r="I479" t="s">
        <v>34</v>
      </c>
      <c r="J479">
        <v>3</v>
      </c>
      <c r="K479">
        <v>767</v>
      </c>
      <c r="L479">
        <v>4653.8999999999996</v>
      </c>
      <c r="M479">
        <v>35873</v>
      </c>
      <c r="N479" t="s">
        <v>61</v>
      </c>
      <c r="O479" t="s">
        <v>62</v>
      </c>
      <c r="P479" t="s">
        <v>45</v>
      </c>
      <c r="Q479">
        <v>4</v>
      </c>
      <c r="R479">
        <v>37.47</v>
      </c>
    </row>
    <row r="480" spans="1:18" x14ac:dyDescent="0.3">
      <c r="A480" t="s">
        <v>1021</v>
      </c>
      <c r="B480" t="s">
        <v>1022</v>
      </c>
      <c r="C480" t="s">
        <v>20</v>
      </c>
      <c r="D480" t="s">
        <v>82</v>
      </c>
      <c r="E480" s="4">
        <v>40790</v>
      </c>
      <c r="F480" t="s">
        <v>65</v>
      </c>
      <c r="G480" t="s">
        <v>33</v>
      </c>
      <c r="H480" t="s">
        <v>34</v>
      </c>
      <c r="I480" t="s">
        <v>51</v>
      </c>
      <c r="J480">
        <v>0</v>
      </c>
      <c r="K480">
        <v>1201</v>
      </c>
      <c r="L480">
        <v>2287.52</v>
      </c>
      <c r="M480">
        <v>28390</v>
      </c>
      <c r="N480" t="s">
        <v>36</v>
      </c>
      <c r="O480" t="s">
        <v>62</v>
      </c>
      <c r="P480" t="s">
        <v>28</v>
      </c>
      <c r="Q480">
        <v>27</v>
      </c>
      <c r="R480">
        <v>38.97</v>
      </c>
    </row>
    <row r="481" spans="1:18" x14ac:dyDescent="0.3">
      <c r="A481" t="s">
        <v>1023</v>
      </c>
      <c r="B481" t="s">
        <v>1024</v>
      </c>
      <c r="C481" t="s">
        <v>31</v>
      </c>
      <c r="D481" t="s">
        <v>42</v>
      </c>
      <c r="E481" s="4">
        <v>40252</v>
      </c>
      <c r="F481" t="s">
        <v>48</v>
      </c>
      <c r="G481" t="s">
        <v>102</v>
      </c>
      <c r="H481" t="s">
        <v>50</v>
      </c>
      <c r="I481" t="s">
        <v>76</v>
      </c>
      <c r="J481">
        <v>5</v>
      </c>
      <c r="K481">
        <v>688</v>
      </c>
      <c r="L481">
        <v>1685.23</v>
      </c>
      <c r="M481">
        <v>32702</v>
      </c>
      <c r="N481" t="s">
        <v>61</v>
      </c>
      <c r="O481" t="s">
        <v>27</v>
      </c>
      <c r="P481" t="s">
        <v>25</v>
      </c>
      <c r="Q481">
        <v>40</v>
      </c>
      <c r="R481">
        <v>168.13</v>
      </c>
    </row>
    <row r="482" spans="1:18" x14ac:dyDescent="0.3">
      <c r="A482" t="s">
        <v>1025</v>
      </c>
      <c r="B482" t="s">
        <v>1026</v>
      </c>
      <c r="C482" t="s">
        <v>79</v>
      </c>
      <c r="D482" t="s">
        <v>21</v>
      </c>
      <c r="E482" s="4">
        <v>46115</v>
      </c>
      <c r="F482" t="s">
        <v>22</v>
      </c>
      <c r="G482" t="s">
        <v>102</v>
      </c>
      <c r="H482" t="s">
        <v>75</v>
      </c>
      <c r="I482" t="s">
        <v>25</v>
      </c>
      <c r="J482">
        <v>3</v>
      </c>
      <c r="K482">
        <v>664</v>
      </c>
      <c r="L482">
        <v>4985.04</v>
      </c>
      <c r="M482">
        <v>10190</v>
      </c>
      <c r="N482" t="s">
        <v>26</v>
      </c>
      <c r="O482" t="s">
        <v>27</v>
      </c>
      <c r="P482" t="s">
        <v>25</v>
      </c>
      <c r="Q482">
        <v>41</v>
      </c>
      <c r="R482">
        <v>188.63</v>
      </c>
    </row>
    <row r="483" spans="1:18" x14ac:dyDescent="0.3">
      <c r="A483" t="s">
        <v>1027</v>
      </c>
      <c r="B483" t="s">
        <v>1028</v>
      </c>
      <c r="C483" t="s">
        <v>79</v>
      </c>
      <c r="D483" t="s">
        <v>42</v>
      </c>
      <c r="E483" s="4">
        <v>45443</v>
      </c>
      <c r="F483" t="s">
        <v>43</v>
      </c>
      <c r="G483" t="s">
        <v>23</v>
      </c>
      <c r="H483" t="s">
        <v>55</v>
      </c>
      <c r="I483" t="s">
        <v>76</v>
      </c>
      <c r="J483">
        <v>6</v>
      </c>
      <c r="K483">
        <v>880</v>
      </c>
      <c r="L483">
        <v>4219.25</v>
      </c>
      <c r="M483">
        <v>37749</v>
      </c>
      <c r="N483" t="s">
        <v>26</v>
      </c>
      <c r="O483" t="s">
        <v>62</v>
      </c>
      <c r="P483" t="s">
        <v>51</v>
      </c>
      <c r="Q483">
        <v>22</v>
      </c>
      <c r="R483">
        <v>197.85</v>
      </c>
    </row>
    <row r="484" spans="1:18" x14ac:dyDescent="0.3">
      <c r="A484" t="s">
        <v>1029</v>
      </c>
      <c r="B484" t="s">
        <v>1030</v>
      </c>
      <c r="C484" t="s">
        <v>41</v>
      </c>
      <c r="D484" t="s">
        <v>32</v>
      </c>
      <c r="E484" s="4">
        <v>44758</v>
      </c>
      <c r="F484" t="s">
        <v>22</v>
      </c>
      <c r="G484" t="s">
        <v>49</v>
      </c>
      <c r="H484" t="s">
        <v>24</v>
      </c>
      <c r="I484" t="s">
        <v>92</v>
      </c>
      <c r="J484">
        <v>0</v>
      </c>
      <c r="K484">
        <v>171</v>
      </c>
      <c r="L484">
        <v>3987.11</v>
      </c>
      <c r="M484">
        <v>42005</v>
      </c>
      <c r="N484" t="s">
        <v>26</v>
      </c>
      <c r="O484" t="s">
        <v>56</v>
      </c>
      <c r="P484" t="s">
        <v>45</v>
      </c>
      <c r="Q484">
        <v>20</v>
      </c>
      <c r="R484">
        <v>160.1</v>
      </c>
    </row>
    <row r="485" spans="1:18" x14ac:dyDescent="0.3">
      <c r="A485" t="s">
        <v>1031</v>
      </c>
      <c r="B485" t="s">
        <v>1032</v>
      </c>
      <c r="C485" t="s">
        <v>68</v>
      </c>
      <c r="D485" t="s">
        <v>82</v>
      </c>
      <c r="E485" s="4">
        <v>41094</v>
      </c>
      <c r="F485" t="s">
        <v>43</v>
      </c>
      <c r="G485" t="s">
        <v>102</v>
      </c>
      <c r="H485" t="s">
        <v>24</v>
      </c>
      <c r="I485" t="s">
        <v>34</v>
      </c>
      <c r="J485">
        <v>1</v>
      </c>
      <c r="K485">
        <v>109</v>
      </c>
      <c r="L485">
        <v>222</v>
      </c>
      <c r="M485">
        <v>32792</v>
      </c>
      <c r="N485" t="s">
        <v>26</v>
      </c>
      <c r="O485" t="s">
        <v>56</v>
      </c>
      <c r="P485" t="s">
        <v>52</v>
      </c>
      <c r="Q485">
        <v>13</v>
      </c>
      <c r="R485">
        <v>233.45</v>
      </c>
    </row>
    <row r="486" spans="1:18" x14ac:dyDescent="0.3">
      <c r="A486" t="s">
        <v>1033</v>
      </c>
      <c r="B486" t="s">
        <v>1034</v>
      </c>
      <c r="C486" t="s">
        <v>116</v>
      </c>
      <c r="D486" t="s">
        <v>59</v>
      </c>
      <c r="E486" s="4">
        <v>41974</v>
      </c>
      <c r="F486" t="s">
        <v>69</v>
      </c>
      <c r="G486" t="s">
        <v>23</v>
      </c>
      <c r="H486" t="s">
        <v>70</v>
      </c>
      <c r="I486" t="s">
        <v>34</v>
      </c>
      <c r="J486">
        <v>3</v>
      </c>
      <c r="K486">
        <v>638</v>
      </c>
      <c r="L486">
        <v>437.21</v>
      </c>
      <c r="M486">
        <v>21841</v>
      </c>
      <c r="N486" t="s">
        <v>36</v>
      </c>
      <c r="O486" t="s">
        <v>27</v>
      </c>
      <c r="P486" t="s">
        <v>45</v>
      </c>
      <c r="Q486">
        <v>15</v>
      </c>
      <c r="R486">
        <v>33.49</v>
      </c>
    </row>
    <row r="487" spans="1:18" x14ac:dyDescent="0.3">
      <c r="A487" t="s">
        <v>1035</v>
      </c>
      <c r="B487" t="s">
        <v>1036</v>
      </c>
      <c r="C487" t="s">
        <v>68</v>
      </c>
      <c r="D487" t="s">
        <v>21</v>
      </c>
      <c r="E487" s="4">
        <v>41833</v>
      </c>
      <c r="F487" t="s">
        <v>43</v>
      </c>
      <c r="G487" t="s">
        <v>83</v>
      </c>
      <c r="H487" t="s">
        <v>24</v>
      </c>
      <c r="I487" t="s">
        <v>25</v>
      </c>
      <c r="J487">
        <v>2</v>
      </c>
      <c r="K487">
        <v>1439</v>
      </c>
      <c r="L487">
        <v>160.11000000000001</v>
      </c>
      <c r="M487">
        <v>28075</v>
      </c>
      <c r="N487" t="s">
        <v>26</v>
      </c>
      <c r="O487" t="s">
        <v>27</v>
      </c>
      <c r="P487" t="s">
        <v>52</v>
      </c>
      <c r="Q487">
        <v>30</v>
      </c>
      <c r="R487">
        <v>137.94</v>
      </c>
    </row>
    <row r="488" spans="1:18" x14ac:dyDescent="0.3">
      <c r="A488" t="s">
        <v>1037</v>
      </c>
      <c r="B488" t="s">
        <v>1038</v>
      </c>
      <c r="C488" t="s">
        <v>116</v>
      </c>
      <c r="D488" t="s">
        <v>21</v>
      </c>
      <c r="E488" s="4">
        <v>42834</v>
      </c>
      <c r="F488" t="s">
        <v>43</v>
      </c>
      <c r="G488" t="s">
        <v>83</v>
      </c>
      <c r="H488" t="s">
        <v>55</v>
      </c>
      <c r="I488" t="s">
        <v>51</v>
      </c>
      <c r="J488">
        <v>2</v>
      </c>
      <c r="K488">
        <v>1325</v>
      </c>
      <c r="L488">
        <v>839.73</v>
      </c>
      <c r="M488">
        <v>47041</v>
      </c>
      <c r="N488" t="s">
        <v>26</v>
      </c>
      <c r="O488" t="s">
        <v>37</v>
      </c>
      <c r="P488" t="s">
        <v>38</v>
      </c>
      <c r="Q488">
        <v>2</v>
      </c>
      <c r="R488">
        <v>234.23</v>
      </c>
    </row>
    <row r="489" spans="1:18" x14ac:dyDescent="0.3">
      <c r="A489" t="s">
        <v>1039</v>
      </c>
      <c r="B489" t="s">
        <v>1040</v>
      </c>
      <c r="C489" t="s">
        <v>116</v>
      </c>
      <c r="D489" t="s">
        <v>59</v>
      </c>
      <c r="E489" s="4">
        <v>43482</v>
      </c>
      <c r="F489" t="s">
        <v>69</v>
      </c>
      <c r="G489" t="s">
        <v>23</v>
      </c>
      <c r="H489" t="s">
        <v>75</v>
      </c>
      <c r="I489" t="s">
        <v>25</v>
      </c>
      <c r="J489">
        <v>4</v>
      </c>
      <c r="K489">
        <v>1332</v>
      </c>
      <c r="L489">
        <v>814.13</v>
      </c>
      <c r="M489">
        <v>27980</v>
      </c>
      <c r="N489" t="s">
        <v>26</v>
      </c>
      <c r="O489" t="s">
        <v>37</v>
      </c>
      <c r="P489" t="s">
        <v>25</v>
      </c>
      <c r="Q489">
        <v>9</v>
      </c>
      <c r="R489">
        <v>109.75</v>
      </c>
    </row>
    <row r="490" spans="1:18" x14ac:dyDescent="0.3">
      <c r="A490" t="s">
        <v>1041</v>
      </c>
      <c r="B490" t="s">
        <v>1042</v>
      </c>
      <c r="C490" t="s">
        <v>97</v>
      </c>
      <c r="D490" t="s">
        <v>109</v>
      </c>
      <c r="E490" s="4">
        <v>44141</v>
      </c>
      <c r="F490" t="s">
        <v>22</v>
      </c>
      <c r="G490" t="s">
        <v>23</v>
      </c>
      <c r="H490" t="s">
        <v>55</v>
      </c>
      <c r="I490" t="s">
        <v>92</v>
      </c>
      <c r="J490">
        <v>4</v>
      </c>
      <c r="K490">
        <v>555</v>
      </c>
      <c r="L490">
        <v>1229</v>
      </c>
      <c r="M490">
        <v>13998</v>
      </c>
      <c r="N490" t="s">
        <v>61</v>
      </c>
      <c r="O490" t="s">
        <v>37</v>
      </c>
      <c r="P490" t="s">
        <v>52</v>
      </c>
      <c r="Q490">
        <v>3</v>
      </c>
      <c r="R490">
        <v>75.180000000000007</v>
      </c>
    </row>
    <row r="491" spans="1:18" x14ac:dyDescent="0.3">
      <c r="A491" t="s">
        <v>1043</v>
      </c>
      <c r="B491" t="s">
        <v>1044</v>
      </c>
      <c r="C491" t="s">
        <v>79</v>
      </c>
      <c r="D491" t="s">
        <v>42</v>
      </c>
      <c r="E491" s="4">
        <v>44981</v>
      </c>
      <c r="F491" t="s">
        <v>22</v>
      </c>
      <c r="G491" t="s">
        <v>83</v>
      </c>
      <c r="H491" t="s">
        <v>24</v>
      </c>
      <c r="I491" t="s">
        <v>92</v>
      </c>
      <c r="J491">
        <v>5</v>
      </c>
      <c r="K491">
        <v>264</v>
      </c>
      <c r="L491">
        <v>2749.48</v>
      </c>
      <c r="M491">
        <v>38408</v>
      </c>
      <c r="N491" t="s">
        <v>26</v>
      </c>
      <c r="O491" t="s">
        <v>62</v>
      </c>
      <c r="P491" t="s">
        <v>45</v>
      </c>
      <c r="Q491">
        <v>41</v>
      </c>
      <c r="R491">
        <v>130.83000000000001</v>
      </c>
    </row>
    <row r="492" spans="1:18" x14ac:dyDescent="0.3">
      <c r="A492" t="s">
        <v>1045</v>
      </c>
      <c r="B492" t="s">
        <v>1046</v>
      </c>
      <c r="C492" t="s">
        <v>68</v>
      </c>
      <c r="D492" t="s">
        <v>42</v>
      </c>
      <c r="E492" s="4">
        <v>41538</v>
      </c>
      <c r="F492" t="s">
        <v>69</v>
      </c>
      <c r="G492" t="s">
        <v>23</v>
      </c>
      <c r="H492" t="s">
        <v>50</v>
      </c>
      <c r="I492" t="s">
        <v>92</v>
      </c>
      <c r="J492">
        <v>3</v>
      </c>
      <c r="K492">
        <v>1443</v>
      </c>
      <c r="L492">
        <v>2767.04</v>
      </c>
      <c r="M492">
        <v>5412</v>
      </c>
      <c r="N492" t="s">
        <v>61</v>
      </c>
      <c r="O492" t="s">
        <v>56</v>
      </c>
      <c r="P492" t="s">
        <v>38</v>
      </c>
      <c r="Q492">
        <v>8</v>
      </c>
      <c r="R492">
        <v>81.819999999999993</v>
      </c>
    </row>
    <row r="493" spans="1:18" x14ac:dyDescent="0.3">
      <c r="A493" t="s">
        <v>1047</v>
      </c>
      <c r="B493" t="s">
        <v>1048</v>
      </c>
      <c r="C493" t="s">
        <v>31</v>
      </c>
      <c r="D493" t="s">
        <v>42</v>
      </c>
      <c r="E493" s="4">
        <v>44663</v>
      </c>
      <c r="F493" t="s">
        <v>60</v>
      </c>
      <c r="G493" t="s">
        <v>49</v>
      </c>
      <c r="H493" t="s">
        <v>50</v>
      </c>
      <c r="I493" t="s">
        <v>92</v>
      </c>
      <c r="J493">
        <v>6</v>
      </c>
      <c r="K493">
        <v>323</v>
      </c>
      <c r="L493">
        <v>2087.7399999999998</v>
      </c>
      <c r="M493">
        <v>29506</v>
      </c>
      <c r="N493" t="s">
        <v>36</v>
      </c>
      <c r="O493" t="s">
        <v>27</v>
      </c>
      <c r="P493" t="s">
        <v>28</v>
      </c>
      <c r="Q493">
        <v>8</v>
      </c>
      <c r="R493">
        <v>143.74</v>
      </c>
    </row>
    <row r="494" spans="1:18" x14ac:dyDescent="0.3">
      <c r="A494" t="s">
        <v>1049</v>
      </c>
      <c r="B494" t="s">
        <v>1050</v>
      </c>
      <c r="C494" t="s">
        <v>41</v>
      </c>
      <c r="D494" t="s">
        <v>42</v>
      </c>
      <c r="E494" s="4">
        <v>42968</v>
      </c>
      <c r="F494" t="s">
        <v>43</v>
      </c>
      <c r="G494" t="s">
        <v>102</v>
      </c>
      <c r="H494" t="s">
        <v>55</v>
      </c>
      <c r="I494" t="s">
        <v>92</v>
      </c>
      <c r="J494">
        <v>8</v>
      </c>
      <c r="K494">
        <v>42</v>
      </c>
      <c r="L494">
        <v>1633.62</v>
      </c>
      <c r="M494">
        <v>9349</v>
      </c>
      <c r="N494" t="s">
        <v>26</v>
      </c>
      <c r="O494" t="s">
        <v>62</v>
      </c>
      <c r="P494" t="s">
        <v>51</v>
      </c>
      <c r="Q494">
        <v>42</v>
      </c>
      <c r="R494">
        <v>24.96</v>
      </c>
    </row>
    <row r="495" spans="1:18" x14ac:dyDescent="0.3">
      <c r="A495" t="s">
        <v>1051</v>
      </c>
      <c r="B495" t="s">
        <v>1052</v>
      </c>
      <c r="C495" t="s">
        <v>116</v>
      </c>
      <c r="D495" t="s">
        <v>32</v>
      </c>
      <c r="E495" s="4">
        <v>42668</v>
      </c>
      <c r="F495" t="s">
        <v>60</v>
      </c>
      <c r="G495" t="s">
        <v>49</v>
      </c>
      <c r="H495" t="s">
        <v>50</v>
      </c>
      <c r="I495" t="s">
        <v>25</v>
      </c>
      <c r="J495">
        <v>5</v>
      </c>
      <c r="K495">
        <v>826</v>
      </c>
      <c r="L495">
        <v>2600.67</v>
      </c>
      <c r="M495">
        <v>8162</v>
      </c>
      <c r="N495" t="s">
        <v>36</v>
      </c>
      <c r="O495" t="s">
        <v>56</v>
      </c>
      <c r="P495" t="s">
        <v>52</v>
      </c>
      <c r="Q495">
        <v>50</v>
      </c>
      <c r="R495">
        <v>92.29</v>
      </c>
    </row>
    <row r="496" spans="1:18" x14ac:dyDescent="0.3">
      <c r="A496" t="s">
        <v>1053</v>
      </c>
      <c r="B496" t="s">
        <v>1054</v>
      </c>
      <c r="C496" t="s">
        <v>79</v>
      </c>
      <c r="D496" t="s">
        <v>32</v>
      </c>
      <c r="E496" s="4">
        <v>46088</v>
      </c>
      <c r="F496" t="s">
        <v>69</v>
      </c>
      <c r="G496" t="s">
        <v>49</v>
      </c>
      <c r="H496" t="s">
        <v>70</v>
      </c>
      <c r="I496" t="s">
        <v>35</v>
      </c>
      <c r="J496">
        <v>0</v>
      </c>
      <c r="K496">
        <v>1449</v>
      </c>
      <c r="L496">
        <v>4896.8999999999996</v>
      </c>
      <c r="M496">
        <v>14091</v>
      </c>
      <c r="N496" t="s">
        <v>26</v>
      </c>
      <c r="O496" t="s">
        <v>56</v>
      </c>
      <c r="P496" t="s">
        <v>28</v>
      </c>
      <c r="Q496">
        <v>22</v>
      </c>
      <c r="R496">
        <v>35.21</v>
      </c>
    </row>
    <row r="497" spans="1:18" x14ac:dyDescent="0.3">
      <c r="A497" t="s">
        <v>1055</v>
      </c>
      <c r="B497" t="s">
        <v>1056</v>
      </c>
      <c r="C497" t="s">
        <v>116</v>
      </c>
      <c r="D497" t="s">
        <v>21</v>
      </c>
      <c r="E497" s="4">
        <v>44833</v>
      </c>
      <c r="F497" t="s">
        <v>69</v>
      </c>
      <c r="G497" t="s">
        <v>49</v>
      </c>
      <c r="H497" t="s">
        <v>50</v>
      </c>
      <c r="I497" t="s">
        <v>34</v>
      </c>
      <c r="J497">
        <v>2</v>
      </c>
      <c r="K497">
        <v>1146</v>
      </c>
      <c r="L497">
        <v>3598.46</v>
      </c>
      <c r="M497">
        <v>4376</v>
      </c>
      <c r="N497" t="s">
        <v>61</v>
      </c>
      <c r="O497" t="s">
        <v>27</v>
      </c>
      <c r="P497" t="s">
        <v>25</v>
      </c>
      <c r="Q497">
        <v>17</v>
      </c>
      <c r="R497">
        <v>225.32</v>
      </c>
    </row>
    <row r="498" spans="1:18" x14ac:dyDescent="0.3">
      <c r="A498" t="s">
        <v>1057</v>
      </c>
      <c r="B498" t="s">
        <v>1058</v>
      </c>
      <c r="C498" t="s">
        <v>68</v>
      </c>
      <c r="D498" t="s">
        <v>32</v>
      </c>
      <c r="E498" s="4">
        <v>44529</v>
      </c>
      <c r="F498" t="s">
        <v>60</v>
      </c>
      <c r="G498" t="s">
        <v>44</v>
      </c>
      <c r="H498" t="s">
        <v>34</v>
      </c>
      <c r="I498" t="s">
        <v>35</v>
      </c>
      <c r="J498">
        <v>7</v>
      </c>
      <c r="K498">
        <v>1072</v>
      </c>
      <c r="L498">
        <v>3126.87</v>
      </c>
      <c r="M498">
        <v>17804</v>
      </c>
      <c r="N498" t="s">
        <v>61</v>
      </c>
      <c r="O498" t="s">
        <v>37</v>
      </c>
      <c r="P498" t="s">
        <v>45</v>
      </c>
      <c r="Q498">
        <v>37</v>
      </c>
      <c r="R498">
        <v>9.09</v>
      </c>
    </row>
    <row r="499" spans="1:18" x14ac:dyDescent="0.3">
      <c r="A499" t="s">
        <v>1059</v>
      </c>
      <c r="B499" t="s">
        <v>1060</v>
      </c>
      <c r="C499" t="s">
        <v>68</v>
      </c>
      <c r="D499" t="s">
        <v>109</v>
      </c>
      <c r="E499" s="4">
        <v>41232</v>
      </c>
      <c r="F499" t="s">
        <v>48</v>
      </c>
      <c r="G499" t="s">
        <v>102</v>
      </c>
      <c r="H499" t="s">
        <v>24</v>
      </c>
      <c r="I499" t="s">
        <v>51</v>
      </c>
      <c r="J499">
        <v>5</v>
      </c>
      <c r="K499">
        <v>315</v>
      </c>
      <c r="L499">
        <v>3347.23</v>
      </c>
      <c r="M499">
        <v>15621</v>
      </c>
      <c r="N499" t="s">
        <v>26</v>
      </c>
      <c r="O499" t="s">
        <v>27</v>
      </c>
      <c r="P499" t="s">
        <v>52</v>
      </c>
      <c r="Q499">
        <v>49</v>
      </c>
      <c r="R499">
        <v>77.87</v>
      </c>
    </row>
    <row r="500" spans="1:18" x14ac:dyDescent="0.3">
      <c r="A500" t="s">
        <v>1061</v>
      </c>
      <c r="B500" t="s">
        <v>1062</v>
      </c>
      <c r="C500" t="s">
        <v>116</v>
      </c>
      <c r="D500" t="s">
        <v>21</v>
      </c>
      <c r="E500" s="4">
        <v>41705</v>
      </c>
      <c r="F500" t="s">
        <v>43</v>
      </c>
      <c r="G500" t="s">
        <v>102</v>
      </c>
      <c r="H500" t="s">
        <v>24</v>
      </c>
      <c r="I500" t="s">
        <v>25</v>
      </c>
      <c r="J500">
        <v>5</v>
      </c>
      <c r="K500">
        <v>1255</v>
      </c>
      <c r="L500">
        <v>4413.5600000000004</v>
      </c>
      <c r="M500">
        <v>9644</v>
      </c>
      <c r="N500" t="s">
        <v>26</v>
      </c>
      <c r="O500" t="s">
        <v>56</v>
      </c>
      <c r="P500" t="s">
        <v>38</v>
      </c>
      <c r="Q500">
        <v>35</v>
      </c>
      <c r="R500">
        <v>113.08</v>
      </c>
    </row>
    <row r="501" spans="1:18" x14ac:dyDescent="0.3">
      <c r="A501" t="s">
        <v>1063</v>
      </c>
      <c r="B501" t="s">
        <v>1064</v>
      </c>
      <c r="C501" t="s">
        <v>116</v>
      </c>
      <c r="D501" t="s">
        <v>109</v>
      </c>
      <c r="E501" s="4">
        <v>40924</v>
      </c>
      <c r="F501" t="s">
        <v>48</v>
      </c>
      <c r="G501" t="s">
        <v>49</v>
      </c>
      <c r="H501" t="s">
        <v>50</v>
      </c>
      <c r="I501" t="s">
        <v>51</v>
      </c>
      <c r="J501">
        <v>3</v>
      </c>
      <c r="K501">
        <v>473</v>
      </c>
      <c r="L501">
        <v>4619.3</v>
      </c>
      <c r="M501">
        <v>2487</v>
      </c>
      <c r="N501" t="s">
        <v>26</v>
      </c>
      <c r="O501" t="s">
        <v>62</v>
      </c>
      <c r="P501" t="s">
        <v>52</v>
      </c>
      <c r="Q501">
        <v>35</v>
      </c>
      <c r="R501">
        <v>27</v>
      </c>
    </row>
    <row r="502" spans="1:18" x14ac:dyDescent="0.3">
      <c r="A502" t="s">
        <v>1065</v>
      </c>
      <c r="B502" t="s">
        <v>1066</v>
      </c>
      <c r="C502" t="s">
        <v>41</v>
      </c>
      <c r="D502" t="s">
        <v>59</v>
      </c>
      <c r="E502" s="4">
        <v>45357</v>
      </c>
      <c r="F502" t="s">
        <v>48</v>
      </c>
      <c r="G502" t="s">
        <v>23</v>
      </c>
      <c r="H502" t="s">
        <v>24</v>
      </c>
      <c r="I502" t="s">
        <v>92</v>
      </c>
      <c r="J502">
        <v>2</v>
      </c>
      <c r="K502">
        <v>812</v>
      </c>
      <c r="L502">
        <v>3962.05</v>
      </c>
      <c r="M502">
        <v>29567</v>
      </c>
      <c r="N502" t="s">
        <v>61</v>
      </c>
      <c r="O502" t="s">
        <v>56</v>
      </c>
      <c r="P502" t="s">
        <v>25</v>
      </c>
      <c r="Q502">
        <v>4</v>
      </c>
      <c r="R502">
        <v>205.11</v>
      </c>
    </row>
    <row r="503" spans="1:18" x14ac:dyDescent="0.3">
      <c r="A503" t="s">
        <v>1067</v>
      </c>
      <c r="B503" t="s">
        <v>1068</v>
      </c>
      <c r="C503" t="s">
        <v>20</v>
      </c>
      <c r="D503" t="s">
        <v>42</v>
      </c>
      <c r="E503" s="4">
        <v>40889</v>
      </c>
      <c r="F503" t="s">
        <v>43</v>
      </c>
      <c r="G503" t="s">
        <v>49</v>
      </c>
      <c r="H503" t="s">
        <v>55</v>
      </c>
      <c r="I503" t="s">
        <v>35</v>
      </c>
      <c r="J503">
        <v>4</v>
      </c>
      <c r="K503">
        <v>1467</v>
      </c>
      <c r="L503">
        <v>70.94</v>
      </c>
      <c r="M503">
        <v>14804</v>
      </c>
      <c r="N503" t="s">
        <v>26</v>
      </c>
      <c r="O503" t="s">
        <v>27</v>
      </c>
      <c r="P503" t="s">
        <v>28</v>
      </c>
      <c r="Q503">
        <v>1</v>
      </c>
      <c r="R503">
        <v>65.45</v>
      </c>
    </row>
    <row r="504" spans="1:18" x14ac:dyDescent="0.3">
      <c r="A504" t="s">
        <v>1069</v>
      </c>
      <c r="B504" t="s">
        <v>1070</v>
      </c>
      <c r="C504" t="s">
        <v>68</v>
      </c>
      <c r="D504" t="s">
        <v>21</v>
      </c>
      <c r="E504" s="4">
        <v>43580</v>
      </c>
      <c r="F504" t="s">
        <v>22</v>
      </c>
      <c r="G504" t="s">
        <v>102</v>
      </c>
      <c r="H504" t="s">
        <v>24</v>
      </c>
      <c r="I504" t="s">
        <v>76</v>
      </c>
      <c r="J504">
        <v>7</v>
      </c>
      <c r="K504">
        <v>1068</v>
      </c>
      <c r="L504">
        <v>4327.91</v>
      </c>
      <c r="M504">
        <v>35929</v>
      </c>
      <c r="N504" t="s">
        <v>61</v>
      </c>
      <c r="O504" t="s">
        <v>62</v>
      </c>
      <c r="P504" t="s">
        <v>25</v>
      </c>
      <c r="Q504">
        <v>32</v>
      </c>
      <c r="R504">
        <v>220.24</v>
      </c>
    </row>
    <row r="505" spans="1:18" x14ac:dyDescent="0.3">
      <c r="A505" t="s">
        <v>1071</v>
      </c>
      <c r="B505" t="s">
        <v>1072</v>
      </c>
      <c r="C505" t="s">
        <v>79</v>
      </c>
      <c r="D505" t="s">
        <v>82</v>
      </c>
      <c r="E505" s="4">
        <v>41147</v>
      </c>
      <c r="F505" t="s">
        <v>60</v>
      </c>
      <c r="G505" t="s">
        <v>83</v>
      </c>
      <c r="H505" t="s">
        <v>24</v>
      </c>
      <c r="I505" t="s">
        <v>92</v>
      </c>
      <c r="J505">
        <v>0</v>
      </c>
      <c r="K505">
        <v>1032</v>
      </c>
      <c r="L505">
        <v>1576.62</v>
      </c>
      <c r="M505">
        <v>10197</v>
      </c>
      <c r="N505" t="s">
        <v>36</v>
      </c>
      <c r="O505" t="s">
        <v>27</v>
      </c>
      <c r="P505" t="s">
        <v>38</v>
      </c>
      <c r="Q505">
        <v>9</v>
      </c>
      <c r="R505">
        <v>21.3</v>
      </c>
    </row>
    <row r="506" spans="1:18" x14ac:dyDescent="0.3">
      <c r="A506" t="s">
        <v>1073</v>
      </c>
      <c r="B506" t="s">
        <v>1074</v>
      </c>
      <c r="C506" t="s">
        <v>31</v>
      </c>
      <c r="D506" t="s">
        <v>42</v>
      </c>
      <c r="E506" s="4">
        <v>44193</v>
      </c>
      <c r="F506" t="s">
        <v>65</v>
      </c>
      <c r="G506" t="s">
        <v>23</v>
      </c>
      <c r="H506" t="s">
        <v>50</v>
      </c>
      <c r="I506" t="s">
        <v>25</v>
      </c>
      <c r="J506">
        <v>7</v>
      </c>
      <c r="K506">
        <v>76</v>
      </c>
      <c r="L506">
        <v>3739.45</v>
      </c>
      <c r="M506">
        <v>41812</v>
      </c>
      <c r="N506" t="s">
        <v>26</v>
      </c>
      <c r="O506" t="s">
        <v>62</v>
      </c>
      <c r="P506" t="s">
        <v>25</v>
      </c>
      <c r="Q506">
        <v>7</v>
      </c>
      <c r="R506">
        <v>135.57</v>
      </c>
    </row>
    <row r="507" spans="1:18" x14ac:dyDescent="0.3">
      <c r="A507" t="s">
        <v>1075</v>
      </c>
      <c r="B507" t="s">
        <v>1076</v>
      </c>
      <c r="C507" t="s">
        <v>68</v>
      </c>
      <c r="D507" t="s">
        <v>109</v>
      </c>
      <c r="E507" s="4">
        <v>43597</v>
      </c>
      <c r="F507" t="s">
        <v>69</v>
      </c>
      <c r="G507" t="s">
        <v>102</v>
      </c>
      <c r="H507" t="s">
        <v>55</v>
      </c>
      <c r="I507" t="s">
        <v>51</v>
      </c>
      <c r="J507">
        <v>5</v>
      </c>
      <c r="K507">
        <v>394</v>
      </c>
      <c r="L507">
        <v>1768.29</v>
      </c>
      <c r="M507">
        <v>25746</v>
      </c>
      <c r="N507" t="s">
        <v>26</v>
      </c>
      <c r="O507" t="s">
        <v>27</v>
      </c>
      <c r="P507" t="s">
        <v>28</v>
      </c>
      <c r="Q507">
        <v>20</v>
      </c>
      <c r="R507">
        <v>159.91999999999999</v>
      </c>
    </row>
    <row r="508" spans="1:18" x14ac:dyDescent="0.3">
      <c r="A508" t="s">
        <v>1077</v>
      </c>
      <c r="B508" t="s">
        <v>1078</v>
      </c>
      <c r="C508" t="s">
        <v>116</v>
      </c>
      <c r="D508" t="s">
        <v>109</v>
      </c>
      <c r="E508" s="4">
        <v>45348</v>
      </c>
      <c r="F508" t="s">
        <v>60</v>
      </c>
      <c r="G508" t="s">
        <v>83</v>
      </c>
      <c r="H508" t="s">
        <v>24</v>
      </c>
      <c r="I508" t="s">
        <v>25</v>
      </c>
      <c r="J508">
        <v>0</v>
      </c>
      <c r="K508">
        <v>260</v>
      </c>
      <c r="L508">
        <v>298.17</v>
      </c>
      <c r="M508">
        <v>23540</v>
      </c>
      <c r="N508" t="s">
        <v>26</v>
      </c>
      <c r="O508" t="s">
        <v>62</v>
      </c>
      <c r="P508" t="s">
        <v>28</v>
      </c>
      <c r="Q508">
        <v>34</v>
      </c>
      <c r="R508">
        <v>65.2</v>
      </c>
    </row>
    <row r="509" spans="1:18" x14ac:dyDescent="0.3">
      <c r="A509" t="s">
        <v>1079</v>
      </c>
      <c r="B509" t="s">
        <v>1080</v>
      </c>
      <c r="C509" t="s">
        <v>68</v>
      </c>
      <c r="D509" t="s">
        <v>32</v>
      </c>
      <c r="E509" s="4">
        <v>45726</v>
      </c>
      <c r="F509" t="s">
        <v>22</v>
      </c>
      <c r="G509" t="s">
        <v>49</v>
      </c>
      <c r="H509" t="s">
        <v>50</v>
      </c>
      <c r="I509" t="s">
        <v>35</v>
      </c>
      <c r="J509">
        <v>3</v>
      </c>
      <c r="K509">
        <v>1074</v>
      </c>
      <c r="L509">
        <v>2475.81</v>
      </c>
      <c r="M509">
        <v>42999</v>
      </c>
      <c r="N509" t="s">
        <v>36</v>
      </c>
      <c r="O509" t="s">
        <v>56</v>
      </c>
      <c r="P509" t="s">
        <v>51</v>
      </c>
      <c r="Q509">
        <v>31</v>
      </c>
      <c r="R509">
        <v>90.88</v>
      </c>
    </row>
    <row r="510" spans="1:18" x14ac:dyDescent="0.3">
      <c r="A510" t="s">
        <v>1081</v>
      </c>
      <c r="B510" t="s">
        <v>1082</v>
      </c>
      <c r="C510" t="s">
        <v>79</v>
      </c>
      <c r="D510" t="s">
        <v>109</v>
      </c>
      <c r="E510" s="4">
        <v>41514</v>
      </c>
      <c r="F510" t="s">
        <v>43</v>
      </c>
      <c r="G510" t="s">
        <v>83</v>
      </c>
      <c r="H510" t="s">
        <v>34</v>
      </c>
      <c r="I510" t="s">
        <v>92</v>
      </c>
      <c r="J510">
        <v>7</v>
      </c>
      <c r="K510">
        <v>435</v>
      </c>
      <c r="L510">
        <v>3363.75</v>
      </c>
      <c r="M510">
        <v>3782</v>
      </c>
      <c r="N510" t="s">
        <v>26</v>
      </c>
      <c r="O510" t="s">
        <v>62</v>
      </c>
      <c r="P510" t="s">
        <v>38</v>
      </c>
      <c r="Q510">
        <v>41</v>
      </c>
      <c r="R510">
        <v>205.66</v>
      </c>
    </row>
    <row r="511" spans="1:18" x14ac:dyDescent="0.3">
      <c r="A511" t="s">
        <v>1083</v>
      </c>
      <c r="B511" t="s">
        <v>1084</v>
      </c>
      <c r="C511" t="s">
        <v>116</v>
      </c>
      <c r="D511" t="s">
        <v>32</v>
      </c>
      <c r="E511" s="4">
        <v>41094</v>
      </c>
      <c r="F511" t="s">
        <v>22</v>
      </c>
      <c r="G511" t="s">
        <v>49</v>
      </c>
      <c r="H511" t="s">
        <v>24</v>
      </c>
      <c r="I511" t="s">
        <v>25</v>
      </c>
      <c r="J511">
        <v>4</v>
      </c>
      <c r="K511">
        <v>1423</v>
      </c>
      <c r="L511">
        <v>4074.84</v>
      </c>
      <c r="M511">
        <v>26475</v>
      </c>
      <c r="N511" t="s">
        <v>36</v>
      </c>
      <c r="O511" t="s">
        <v>37</v>
      </c>
      <c r="P511" t="s">
        <v>28</v>
      </c>
      <c r="Q511">
        <v>31</v>
      </c>
      <c r="R511">
        <v>88.2</v>
      </c>
    </row>
    <row r="512" spans="1:18" x14ac:dyDescent="0.3">
      <c r="A512" t="s">
        <v>1085</v>
      </c>
      <c r="B512" t="s">
        <v>1086</v>
      </c>
      <c r="C512" t="s">
        <v>97</v>
      </c>
      <c r="D512" t="s">
        <v>82</v>
      </c>
      <c r="E512" s="4">
        <v>42831</v>
      </c>
      <c r="F512" t="s">
        <v>69</v>
      </c>
      <c r="G512" t="s">
        <v>49</v>
      </c>
      <c r="H512" t="s">
        <v>34</v>
      </c>
      <c r="I512" t="s">
        <v>25</v>
      </c>
      <c r="J512">
        <v>4</v>
      </c>
      <c r="K512">
        <v>657</v>
      </c>
      <c r="L512">
        <v>225.63</v>
      </c>
      <c r="M512">
        <v>26543</v>
      </c>
      <c r="N512" t="s">
        <v>61</v>
      </c>
      <c r="O512" t="s">
        <v>27</v>
      </c>
      <c r="P512" t="s">
        <v>38</v>
      </c>
      <c r="Q512">
        <v>45</v>
      </c>
      <c r="R512">
        <v>34.71</v>
      </c>
    </row>
    <row r="513" spans="1:18" x14ac:dyDescent="0.3">
      <c r="A513" t="s">
        <v>1087</v>
      </c>
      <c r="B513" t="s">
        <v>1088</v>
      </c>
      <c r="C513" t="s">
        <v>79</v>
      </c>
      <c r="D513" t="s">
        <v>59</v>
      </c>
      <c r="E513" s="4">
        <v>42778</v>
      </c>
      <c r="F513" t="s">
        <v>65</v>
      </c>
      <c r="G513" t="s">
        <v>49</v>
      </c>
      <c r="H513" t="s">
        <v>70</v>
      </c>
      <c r="I513" t="s">
        <v>34</v>
      </c>
      <c r="J513">
        <v>8</v>
      </c>
      <c r="K513">
        <v>1429</v>
      </c>
      <c r="L513">
        <v>2811.11</v>
      </c>
      <c r="M513">
        <v>11195</v>
      </c>
      <c r="N513" t="s">
        <v>36</v>
      </c>
      <c r="O513" t="s">
        <v>27</v>
      </c>
      <c r="P513" t="s">
        <v>38</v>
      </c>
      <c r="Q513">
        <v>29</v>
      </c>
      <c r="R513">
        <v>144.19999999999999</v>
      </c>
    </row>
    <row r="514" spans="1:18" x14ac:dyDescent="0.3">
      <c r="A514" t="s">
        <v>1089</v>
      </c>
      <c r="B514" t="s">
        <v>1090</v>
      </c>
      <c r="C514" t="s">
        <v>97</v>
      </c>
      <c r="D514" t="s">
        <v>42</v>
      </c>
      <c r="E514" s="4">
        <v>45616</v>
      </c>
      <c r="F514" t="s">
        <v>43</v>
      </c>
      <c r="G514" t="s">
        <v>49</v>
      </c>
      <c r="H514" t="s">
        <v>34</v>
      </c>
      <c r="I514" t="s">
        <v>76</v>
      </c>
      <c r="J514">
        <v>4</v>
      </c>
      <c r="K514">
        <v>123</v>
      </c>
      <c r="L514">
        <v>4783.93</v>
      </c>
      <c r="M514">
        <v>1940</v>
      </c>
      <c r="N514" t="s">
        <v>36</v>
      </c>
      <c r="O514" t="s">
        <v>37</v>
      </c>
      <c r="P514" t="s">
        <v>51</v>
      </c>
      <c r="Q514">
        <v>43</v>
      </c>
      <c r="R514">
        <v>228.66</v>
      </c>
    </row>
    <row r="515" spans="1:18" x14ac:dyDescent="0.3">
      <c r="A515" t="s">
        <v>1091</v>
      </c>
      <c r="B515" t="s">
        <v>1092</v>
      </c>
      <c r="C515" t="s">
        <v>68</v>
      </c>
      <c r="D515" t="s">
        <v>59</v>
      </c>
      <c r="E515" s="4">
        <v>44276</v>
      </c>
      <c r="F515" t="s">
        <v>22</v>
      </c>
      <c r="G515" t="s">
        <v>44</v>
      </c>
      <c r="H515" t="s">
        <v>70</v>
      </c>
      <c r="I515" t="s">
        <v>35</v>
      </c>
      <c r="J515">
        <v>5</v>
      </c>
      <c r="K515">
        <v>640</v>
      </c>
      <c r="L515">
        <v>4741.1400000000003</v>
      </c>
      <c r="M515">
        <v>8212</v>
      </c>
      <c r="N515" t="s">
        <v>61</v>
      </c>
      <c r="O515" t="s">
        <v>56</v>
      </c>
      <c r="P515" t="s">
        <v>51</v>
      </c>
      <c r="Q515">
        <v>15</v>
      </c>
      <c r="R515">
        <v>243.47</v>
      </c>
    </row>
    <row r="516" spans="1:18" x14ac:dyDescent="0.3">
      <c r="A516" t="s">
        <v>1093</v>
      </c>
      <c r="B516" t="s">
        <v>1094</v>
      </c>
      <c r="C516" t="s">
        <v>31</v>
      </c>
      <c r="D516" t="s">
        <v>42</v>
      </c>
      <c r="E516" s="4">
        <v>42908</v>
      </c>
      <c r="F516" t="s">
        <v>60</v>
      </c>
      <c r="G516" t="s">
        <v>49</v>
      </c>
      <c r="H516" t="s">
        <v>50</v>
      </c>
      <c r="I516" t="s">
        <v>51</v>
      </c>
      <c r="J516">
        <v>1</v>
      </c>
      <c r="K516">
        <v>866</v>
      </c>
      <c r="L516">
        <v>4100.3100000000004</v>
      </c>
      <c r="M516">
        <v>10480</v>
      </c>
      <c r="N516" t="s">
        <v>61</v>
      </c>
      <c r="O516" t="s">
        <v>27</v>
      </c>
      <c r="P516" t="s">
        <v>38</v>
      </c>
      <c r="Q516">
        <v>28</v>
      </c>
      <c r="R516">
        <v>247.48</v>
      </c>
    </row>
    <row r="517" spans="1:18" x14ac:dyDescent="0.3">
      <c r="A517" t="s">
        <v>1095</v>
      </c>
      <c r="B517" t="s">
        <v>1096</v>
      </c>
      <c r="C517" t="s">
        <v>116</v>
      </c>
      <c r="D517" t="s">
        <v>109</v>
      </c>
      <c r="E517" s="4">
        <v>45903</v>
      </c>
      <c r="F517" t="s">
        <v>60</v>
      </c>
      <c r="G517" t="s">
        <v>102</v>
      </c>
      <c r="H517" t="s">
        <v>24</v>
      </c>
      <c r="I517" t="s">
        <v>76</v>
      </c>
      <c r="J517">
        <v>2</v>
      </c>
      <c r="K517">
        <v>670</v>
      </c>
      <c r="L517">
        <v>661.3</v>
      </c>
      <c r="M517">
        <v>7603</v>
      </c>
      <c r="N517" t="s">
        <v>61</v>
      </c>
      <c r="O517" t="s">
        <v>37</v>
      </c>
      <c r="P517" t="s">
        <v>45</v>
      </c>
      <c r="Q517">
        <v>25</v>
      </c>
      <c r="R517">
        <v>5.47</v>
      </c>
    </row>
    <row r="518" spans="1:18" x14ac:dyDescent="0.3">
      <c r="A518" t="s">
        <v>1097</v>
      </c>
      <c r="B518" t="s">
        <v>1098</v>
      </c>
      <c r="C518" t="s">
        <v>31</v>
      </c>
      <c r="D518" t="s">
        <v>109</v>
      </c>
      <c r="E518" s="4">
        <v>41036</v>
      </c>
      <c r="F518" t="s">
        <v>65</v>
      </c>
      <c r="G518" t="s">
        <v>23</v>
      </c>
      <c r="H518" t="s">
        <v>34</v>
      </c>
      <c r="I518" t="s">
        <v>51</v>
      </c>
      <c r="J518">
        <v>0</v>
      </c>
      <c r="K518">
        <v>188</v>
      </c>
      <c r="L518">
        <v>2856.84</v>
      </c>
      <c r="M518">
        <v>29083</v>
      </c>
      <c r="N518" t="s">
        <v>61</v>
      </c>
      <c r="O518" t="s">
        <v>37</v>
      </c>
      <c r="P518" t="s">
        <v>52</v>
      </c>
      <c r="Q518">
        <v>21</v>
      </c>
      <c r="R518">
        <v>44.02</v>
      </c>
    </row>
    <row r="519" spans="1:18" x14ac:dyDescent="0.3">
      <c r="A519" t="s">
        <v>1099</v>
      </c>
      <c r="B519" t="s">
        <v>1100</v>
      </c>
      <c r="C519" t="s">
        <v>97</v>
      </c>
      <c r="D519" t="s">
        <v>21</v>
      </c>
      <c r="E519" s="4">
        <v>42040</v>
      </c>
      <c r="F519" t="s">
        <v>48</v>
      </c>
      <c r="G519" t="s">
        <v>83</v>
      </c>
      <c r="H519" t="s">
        <v>50</v>
      </c>
      <c r="I519" t="s">
        <v>76</v>
      </c>
      <c r="J519">
        <v>5</v>
      </c>
      <c r="K519">
        <v>259</v>
      </c>
      <c r="L519">
        <v>1975.22</v>
      </c>
      <c r="M519">
        <v>28507</v>
      </c>
      <c r="N519" t="s">
        <v>61</v>
      </c>
      <c r="O519" t="s">
        <v>37</v>
      </c>
      <c r="P519" t="s">
        <v>25</v>
      </c>
      <c r="Q519">
        <v>11</v>
      </c>
      <c r="R519">
        <v>225.83</v>
      </c>
    </row>
    <row r="520" spans="1:18" x14ac:dyDescent="0.3">
      <c r="A520" t="s">
        <v>1101</v>
      </c>
      <c r="B520" t="s">
        <v>1102</v>
      </c>
      <c r="C520" t="s">
        <v>41</v>
      </c>
      <c r="D520" t="s">
        <v>32</v>
      </c>
      <c r="E520" s="4">
        <v>44641</v>
      </c>
      <c r="F520" t="s">
        <v>48</v>
      </c>
      <c r="G520" t="s">
        <v>33</v>
      </c>
      <c r="H520" t="s">
        <v>34</v>
      </c>
      <c r="I520" t="s">
        <v>51</v>
      </c>
      <c r="J520">
        <v>5</v>
      </c>
      <c r="K520">
        <v>1404</v>
      </c>
      <c r="L520">
        <v>3477.29</v>
      </c>
      <c r="M520">
        <v>43091</v>
      </c>
      <c r="N520" t="s">
        <v>26</v>
      </c>
      <c r="O520" t="s">
        <v>62</v>
      </c>
      <c r="P520" t="s">
        <v>38</v>
      </c>
      <c r="Q520">
        <v>7</v>
      </c>
      <c r="R520">
        <v>70.540000000000006</v>
      </c>
    </row>
    <row r="521" spans="1:18" x14ac:dyDescent="0.3">
      <c r="A521" t="s">
        <v>1103</v>
      </c>
      <c r="B521" t="s">
        <v>1104</v>
      </c>
      <c r="C521" t="s">
        <v>79</v>
      </c>
      <c r="D521" t="s">
        <v>109</v>
      </c>
      <c r="E521" s="4">
        <v>41959</v>
      </c>
      <c r="F521" t="s">
        <v>69</v>
      </c>
      <c r="G521" t="s">
        <v>44</v>
      </c>
      <c r="H521" t="s">
        <v>55</v>
      </c>
      <c r="I521" t="s">
        <v>51</v>
      </c>
      <c r="J521">
        <v>2</v>
      </c>
      <c r="K521">
        <v>1218</v>
      </c>
      <c r="L521">
        <v>1080.8</v>
      </c>
      <c r="M521">
        <v>26314</v>
      </c>
      <c r="N521" t="s">
        <v>36</v>
      </c>
      <c r="O521" t="s">
        <v>37</v>
      </c>
      <c r="P521" t="s">
        <v>25</v>
      </c>
      <c r="Q521">
        <v>17</v>
      </c>
      <c r="R521">
        <v>230.53</v>
      </c>
    </row>
    <row r="522" spans="1:18" x14ac:dyDescent="0.3">
      <c r="A522" t="s">
        <v>1105</v>
      </c>
      <c r="B522" t="s">
        <v>1106</v>
      </c>
      <c r="C522" t="s">
        <v>116</v>
      </c>
      <c r="D522" t="s">
        <v>109</v>
      </c>
      <c r="E522" s="4">
        <v>45984</v>
      </c>
      <c r="F522" t="s">
        <v>65</v>
      </c>
      <c r="G522" t="s">
        <v>44</v>
      </c>
      <c r="H522" t="s">
        <v>34</v>
      </c>
      <c r="I522" t="s">
        <v>35</v>
      </c>
      <c r="J522">
        <v>8</v>
      </c>
      <c r="K522">
        <v>437</v>
      </c>
      <c r="L522">
        <v>2531.71</v>
      </c>
      <c r="M522">
        <v>19149</v>
      </c>
      <c r="N522" t="s">
        <v>61</v>
      </c>
      <c r="O522" t="s">
        <v>37</v>
      </c>
      <c r="P522" t="s">
        <v>28</v>
      </c>
      <c r="Q522">
        <v>11</v>
      </c>
      <c r="R522">
        <v>184.23</v>
      </c>
    </row>
    <row r="523" spans="1:18" x14ac:dyDescent="0.3">
      <c r="A523" t="s">
        <v>1107</v>
      </c>
      <c r="B523" t="s">
        <v>1108</v>
      </c>
      <c r="C523" t="s">
        <v>20</v>
      </c>
      <c r="D523" t="s">
        <v>21</v>
      </c>
      <c r="E523" s="4">
        <v>44274</v>
      </c>
      <c r="F523" t="s">
        <v>69</v>
      </c>
      <c r="G523" t="s">
        <v>23</v>
      </c>
      <c r="H523" t="s">
        <v>24</v>
      </c>
      <c r="I523" t="s">
        <v>92</v>
      </c>
      <c r="J523">
        <v>5</v>
      </c>
      <c r="K523">
        <v>426</v>
      </c>
      <c r="L523">
        <v>2789.03</v>
      </c>
      <c r="M523">
        <v>29678</v>
      </c>
      <c r="N523" t="s">
        <v>36</v>
      </c>
      <c r="O523" t="s">
        <v>27</v>
      </c>
      <c r="P523" t="s">
        <v>51</v>
      </c>
      <c r="Q523">
        <v>7</v>
      </c>
      <c r="R523">
        <v>184.18</v>
      </c>
    </row>
    <row r="524" spans="1:18" x14ac:dyDescent="0.3">
      <c r="A524" t="s">
        <v>1109</v>
      </c>
      <c r="B524" t="s">
        <v>1110</v>
      </c>
      <c r="C524" t="s">
        <v>68</v>
      </c>
      <c r="D524" t="s">
        <v>21</v>
      </c>
      <c r="E524" s="4">
        <v>46038</v>
      </c>
      <c r="F524" t="s">
        <v>60</v>
      </c>
      <c r="G524" t="s">
        <v>33</v>
      </c>
      <c r="H524" t="s">
        <v>24</v>
      </c>
      <c r="I524" t="s">
        <v>25</v>
      </c>
      <c r="J524">
        <v>6</v>
      </c>
      <c r="K524">
        <v>741</v>
      </c>
      <c r="L524">
        <v>4472.8100000000004</v>
      </c>
      <c r="M524">
        <v>1951</v>
      </c>
      <c r="N524" t="s">
        <v>36</v>
      </c>
      <c r="O524" t="s">
        <v>27</v>
      </c>
      <c r="P524" t="s">
        <v>45</v>
      </c>
      <c r="Q524">
        <v>10</v>
      </c>
      <c r="R524">
        <v>157.63999999999999</v>
      </c>
    </row>
    <row r="525" spans="1:18" x14ac:dyDescent="0.3">
      <c r="A525" t="s">
        <v>1111</v>
      </c>
      <c r="B525" t="s">
        <v>1112</v>
      </c>
      <c r="C525" t="s">
        <v>68</v>
      </c>
      <c r="D525" t="s">
        <v>21</v>
      </c>
      <c r="E525" s="4">
        <v>41607</v>
      </c>
      <c r="F525" t="s">
        <v>22</v>
      </c>
      <c r="G525" t="s">
        <v>44</v>
      </c>
      <c r="H525" t="s">
        <v>55</v>
      </c>
      <c r="I525" t="s">
        <v>25</v>
      </c>
      <c r="J525">
        <v>7</v>
      </c>
      <c r="K525">
        <v>420</v>
      </c>
      <c r="L525">
        <v>2869.45</v>
      </c>
      <c r="M525">
        <v>36383</v>
      </c>
      <c r="N525" t="s">
        <v>26</v>
      </c>
      <c r="O525" t="s">
        <v>37</v>
      </c>
      <c r="P525" t="s">
        <v>45</v>
      </c>
      <c r="Q525">
        <v>10</v>
      </c>
      <c r="R525">
        <v>106.09</v>
      </c>
    </row>
    <row r="526" spans="1:18" x14ac:dyDescent="0.3">
      <c r="A526" t="s">
        <v>1113</v>
      </c>
      <c r="B526" t="s">
        <v>1114</v>
      </c>
      <c r="C526" t="s">
        <v>116</v>
      </c>
      <c r="D526" t="s">
        <v>21</v>
      </c>
      <c r="E526" s="4">
        <v>45728</v>
      </c>
      <c r="F526" t="s">
        <v>69</v>
      </c>
      <c r="G526" t="s">
        <v>83</v>
      </c>
      <c r="H526" t="s">
        <v>55</v>
      </c>
      <c r="I526" t="s">
        <v>34</v>
      </c>
      <c r="J526">
        <v>7</v>
      </c>
      <c r="K526">
        <v>724</v>
      </c>
      <c r="L526">
        <v>1330.02</v>
      </c>
      <c r="M526">
        <v>12886</v>
      </c>
      <c r="N526" t="s">
        <v>36</v>
      </c>
      <c r="O526" t="s">
        <v>56</v>
      </c>
      <c r="P526" t="s">
        <v>52</v>
      </c>
      <c r="Q526">
        <v>44</v>
      </c>
      <c r="R526">
        <v>53.35</v>
      </c>
    </row>
    <row r="527" spans="1:18" x14ac:dyDescent="0.3">
      <c r="A527" t="s">
        <v>1115</v>
      </c>
      <c r="B527" t="s">
        <v>1116</v>
      </c>
      <c r="C527" t="s">
        <v>31</v>
      </c>
      <c r="D527" t="s">
        <v>42</v>
      </c>
      <c r="E527" s="4">
        <v>41165</v>
      </c>
      <c r="F527" t="s">
        <v>48</v>
      </c>
      <c r="G527" t="s">
        <v>102</v>
      </c>
      <c r="H527" t="s">
        <v>50</v>
      </c>
      <c r="I527" t="s">
        <v>35</v>
      </c>
      <c r="J527">
        <v>6</v>
      </c>
      <c r="K527">
        <v>976</v>
      </c>
      <c r="L527">
        <v>3096.54</v>
      </c>
      <c r="M527">
        <v>31543</v>
      </c>
      <c r="N527" t="s">
        <v>36</v>
      </c>
      <c r="O527" t="s">
        <v>37</v>
      </c>
      <c r="P527" t="s">
        <v>51</v>
      </c>
      <c r="Q527">
        <v>26</v>
      </c>
      <c r="R527">
        <v>74.66</v>
      </c>
    </row>
    <row r="528" spans="1:18" x14ac:dyDescent="0.3">
      <c r="A528" t="s">
        <v>1117</v>
      </c>
      <c r="B528" t="s">
        <v>1118</v>
      </c>
      <c r="C528" t="s">
        <v>79</v>
      </c>
      <c r="D528" t="s">
        <v>59</v>
      </c>
      <c r="E528" s="4">
        <v>40739</v>
      </c>
      <c r="F528" t="s">
        <v>65</v>
      </c>
      <c r="G528" t="s">
        <v>49</v>
      </c>
      <c r="H528" t="s">
        <v>75</v>
      </c>
      <c r="I528" t="s">
        <v>35</v>
      </c>
      <c r="J528">
        <v>0</v>
      </c>
      <c r="K528">
        <v>74</v>
      </c>
      <c r="L528">
        <v>197.99</v>
      </c>
      <c r="M528">
        <v>7181</v>
      </c>
      <c r="N528" t="s">
        <v>36</v>
      </c>
      <c r="O528" t="s">
        <v>37</v>
      </c>
      <c r="P528" t="s">
        <v>28</v>
      </c>
      <c r="Q528">
        <v>25</v>
      </c>
      <c r="R528">
        <v>192.8</v>
      </c>
    </row>
    <row r="529" spans="1:18" x14ac:dyDescent="0.3">
      <c r="A529" t="s">
        <v>1119</v>
      </c>
      <c r="B529" t="s">
        <v>1120</v>
      </c>
      <c r="C529" t="s">
        <v>97</v>
      </c>
      <c r="D529" t="s">
        <v>82</v>
      </c>
      <c r="E529" s="4">
        <v>41344</v>
      </c>
      <c r="F529" t="s">
        <v>60</v>
      </c>
      <c r="G529" t="s">
        <v>49</v>
      </c>
      <c r="H529" t="s">
        <v>75</v>
      </c>
      <c r="I529" t="s">
        <v>34</v>
      </c>
      <c r="J529">
        <v>6</v>
      </c>
      <c r="K529">
        <v>495</v>
      </c>
      <c r="L529">
        <v>2368.67</v>
      </c>
      <c r="M529">
        <v>29980</v>
      </c>
      <c r="N529" t="s">
        <v>36</v>
      </c>
      <c r="O529" t="s">
        <v>27</v>
      </c>
      <c r="P529" t="s">
        <v>38</v>
      </c>
      <c r="Q529">
        <v>43</v>
      </c>
      <c r="R529">
        <v>108.53</v>
      </c>
    </row>
    <row r="530" spans="1:18" x14ac:dyDescent="0.3">
      <c r="A530" t="s">
        <v>1121</v>
      </c>
      <c r="B530" t="s">
        <v>1122</v>
      </c>
      <c r="C530" t="s">
        <v>79</v>
      </c>
      <c r="D530" t="s">
        <v>109</v>
      </c>
      <c r="E530" s="4">
        <v>40662</v>
      </c>
      <c r="F530" t="s">
        <v>65</v>
      </c>
      <c r="G530" t="s">
        <v>44</v>
      </c>
      <c r="H530" t="s">
        <v>24</v>
      </c>
      <c r="I530" t="s">
        <v>76</v>
      </c>
      <c r="J530">
        <v>3</v>
      </c>
      <c r="K530">
        <v>642</v>
      </c>
      <c r="L530">
        <v>4268.12</v>
      </c>
      <c r="M530">
        <v>28486</v>
      </c>
      <c r="N530" t="s">
        <v>36</v>
      </c>
      <c r="O530" t="s">
        <v>37</v>
      </c>
      <c r="P530" t="s">
        <v>25</v>
      </c>
      <c r="Q530">
        <v>36</v>
      </c>
      <c r="R530">
        <v>41.46</v>
      </c>
    </row>
    <row r="531" spans="1:18" x14ac:dyDescent="0.3">
      <c r="A531" t="s">
        <v>1123</v>
      </c>
      <c r="B531" t="s">
        <v>1124</v>
      </c>
      <c r="C531" t="s">
        <v>20</v>
      </c>
      <c r="D531" t="s">
        <v>21</v>
      </c>
      <c r="E531" s="4">
        <v>41585</v>
      </c>
      <c r="F531" t="s">
        <v>60</v>
      </c>
      <c r="G531" t="s">
        <v>33</v>
      </c>
      <c r="H531" t="s">
        <v>70</v>
      </c>
      <c r="I531" t="s">
        <v>51</v>
      </c>
      <c r="J531">
        <v>5</v>
      </c>
      <c r="K531">
        <v>1277</v>
      </c>
      <c r="L531">
        <v>1804.63</v>
      </c>
      <c r="M531">
        <v>48169</v>
      </c>
      <c r="N531" t="s">
        <v>61</v>
      </c>
      <c r="O531" t="s">
        <v>56</v>
      </c>
      <c r="P531" t="s">
        <v>45</v>
      </c>
      <c r="Q531">
        <v>29</v>
      </c>
      <c r="R531">
        <v>50.14</v>
      </c>
    </row>
    <row r="532" spans="1:18" x14ac:dyDescent="0.3">
      <c r="A532" t="s">
        <v>1125</v>
      </c>
      <c r="B532" t="s">
        <v>1126</v>
      </c>
      <c r="C532" t="s">
        <v>116</v>
      </c>
      <c r="D532" t="s">
        <v>59</v>
      </c>
      <c r="E532" s="4">
        <v>43249</v>
      </c>
      <c r="F532" t="s">
        <v>60</v>
      </c>
      <c r="G532" t="s">
        <v>33</v>
      </c>
      <c r="H532" t="s">
        <v>34</v>
      </c>
      <c r="I532" t="s">
        <v>76</v>
      </c>
      <c r="J532">
        <v>6</v>
      </c>
      <c r="K532">
        <v>564</v>
      </c>
      <c r="L532">
        <v>2595.86</v>
      </c>
      <c r="M532">
        <v>44665</v>
      </c>
      <c r="N532" t="s">
        <v>26</v>
      </c>
      <c r="O532" t="s">
        <v>37</v>
      </c>
      <c r="P532" t="s">
        <v>38</v>
      </c>
      <c r="Q532">
        <v>20</v>
      </c>
      <c r="R532">
        <v>133.63</v>
      </c>
    </row>
    <row r="533" spans="1:18" x14ac:dyDescent="0.3">
      <c r="A533" t="s">
        <v>1127</v>
      </c>
      <c r="B533" t="s">
        <v>1128</v>
      </c>
      <c r="C533" t="s">
        <v>97</v>
      </c>
      <c r="D533" t="s">
        <v>82</v>
      </c>
      <c r="E533" s="4">
        <v>44980</v>
      </c>
      <c r="F533" t="s">
        <v>22</v>
      </c>
      <c r="G533" t="s">
        <v>83</v>
      </c>
      <c r="H533" t="s">
        <v>75</v>
      </c>
      <c r="I533" t="s">
        <v>25</v>
      </c>
      <c r="J533">
        <v>1</v>
      </c>
      <c r="K533">
        <v>1212</v>
      </c>
      <c r="L533">
        <v>2995.95</v>
      </c>
      <c r="M533">
        <v>12738</v>
      </c>
      <c r="N533" t="s">
        <v>26</v>
      </c>
      <c r="O533" t="s">
        <v>62</v>
      </c>
      <c r="P533" t="s">
        <v>45</v>
      </c>
      <c r="Q533">
        <v>36</v>
      </c>
      <c r="R533">
        <v>126.18</v>
      </c>
    </row>
    <row r="534" spans="1:18" x14ac:dyDescent="0.3">
      <c r="A534" t="s">
        <v>1129</v>
      </c>
      <c r="B534" t="s">
        <v>1130</v>
      </c>
      <c r="C534" t="s">
        <v>79</v>
      </c>
      <c r="D534" t="s">
        <v>82</v>
      </c>
      <c r="E534" s="4">
        <v>42787</v>
      </c>
      <c r="F534" t="s">
        <v>60</v>
      </c>
      <c r="G534" t="s">
        <v>44</v>
      </c>
      <c r="H534" t="s">
        <v>55</v>
      </c>
      <c r="I534" t="s">
        <v>92</v>
      </c>
      <c r="J534">
        <v>4</v>
      </c>
      <c r="K534">
        <v>1146</v>
      </c>
      <c r="L534">
        <v>3324.19</v>
      </c>
      <c r="M534">
        <v>29531</v>
      </c>
      <c r="N534" t="s">
        <v>26</v>
      </c>
      <c r="O534" t="s">
        <v>62</v>
      </c>
      <c r="P534" t="s">
        <v>51</v>
      </c>
      <c r="Q534">
        <v>38</v>
      </c>
      <c r="R534">
        <v>190.18</v>
      </c>
    </row>
    <row r="535" spans="1:18" x14ac:dyDescent="0.3">
      <c r="A535" t="s">
        <v>1131</v>
      </c>
      <c r="B535" t="s">
        <v>1132</v>
      </c>
      <c r="C535" t="s">
        <v>68</v>
      </c>
      <c r="D535" t="s">
        <v>82</v>
      </c>
      <c r="E535" s="4">
        <v>41185</v>
      </c>
      <c r="F535" t="s">
        <v>43</v>
      </c>
      <c r="G535" t="s">
        <v>23</v>
      </c>
      <c r="H535" t="s">
        <v>70</v>
      </c>
      <c r="I535" t="s">
        <v>25</v>
      </c>
      <c r="J535">
        <v>3</v>
      </c>
      <c r="K535">
        <v>611</v>
      </c>
      <c r="L535">
        <v>4114.17</v>
      </c>
      <c r="M535">
        <v>33787</v>
      </c>
      <c r="N535" t="s">
        <v>26</v>
      </c>
      <c r="O535" t="s">
        <v>56</v>
      </c>
      <c r="P535" t="s">
        <v>28</v>
      </c>
      <c r="Q535">
        <v>6</v>
      </c>
      <c r="R535">
        <v>151.30000000000001</v>
      </c>
    </row>
    <row r="536" spans="1:18" x14ac:dyDescent="0.3">
      <c r="A536" t="s">
        <v>1133</v>
      </c>
      <c r="B536" t="s">
        <v>1134</v>
      </c>
      <c r="C536" t="s">
        <v>41</v>
      </c>
      <c r="D536" t="s">
        <v>59</v>
      </c>
      <c r="E536" s="4">
        <v>43196</v>
      </c>
      <c r="F536" t="s">
        <v>43</v>
      </c>
      <c r="G536" t="s">
        <v>44</v>
      </c>
      <c r="H536" t="s">
        <v>70</v>
      </c>
      <c r="I536" t="s">
        <v>92</v>
      </c>
      <c r="J536">
        <v>1</v>
      </c>
      <c r="K536">
        <v>192</v>
      </c>
      <c r="L536">
        <v>3210.86</v>
      </c>
      <c r="M536">
        <v>34848</v>
      </c>
      <c r="N536" t="s">
        <v>26</v>
      </c>
      <c r="O536" t="s">
        <v>56</v>
      </c>
      <c r="P536" t="s">
        <v>25</v>
      </c>
      <c r="Q536">
        <v>11</v>
      </c>
      <c r="R536">
        <v>192.26</v>
      </c>
    </row>
    <row r="537" spans="1:18" x14ac:dyDescent="0.3">
      <c r="A537" t="s">
        <v>1135</v>
      </c>
      <c r="B537" t="s">
        <v>1136</v>
      </c>
      <c r="C537" t="s">
        <v>116</v>
      </c>
      <c r="D537" t="s">
        <v>59</v>
      </c>
      <c r="E537" s="4">
        <v>43500</v>
      </c>
      <c r="F537" t="s">
        <v>22</v>
      </c>
      <c r="G537" t="s">
        <v>83</v>
      </c>
      <c r="H537" t="s">
        <v>24</v>
      </c>
      <c r="I537" t="s">
        <v>51</v>
      </c>
      <c r="J537">
        <v>2</v>
      </c>
      <c r="K537">
        <v>68</v>
      </c>
      <c r="L537">
        <v>4925.18</v>
      </c>
      <c r="M537">
        <v>3897</v>
      </c>
      <c r="N537" t="s">
        <v>61</v>
      </c>
      <c r="O537" t="s">
        <v>27</v>
      </c>
      <c r="P537" t="s">
        <v>52</v>
      </c>
      <c r="Q537">
        <v>7</v>
      </c>
      <c r="R537">
        <v>178.3</v>
      </c>
    </row>
    <row r="538" spans="1:18" x14ac:dyDescent="0.3">
      <c r="A538" t="s">
        <v>1137</v>
      </c>
      <c r="B538" t="s">
        <v>1138</v>
      </c>
      <c r="C538" t="s">
        <v>20</v>
      </c>
      <c r="D538" t="s">
        <v>109</v>
      </c>
      <c r="E538" s="4">
        <v>44099</v>
      </c>
      <c r="F538" t="s">
        <v>43</v>
      </c>
      <c r="G538" t="s">
        <v>83</v>
      </c>
      <c r="H538" t="s">
        <v>75</v>
      </c>
      <c r="I538" t="s">
        <v>76</v>
      </c>
      <c r="J538">
        <v>2</v>
      </c>
      <c r="K538">
        <v>1230</v>
      </c>
      <c r="L538">
        <v>352.89</v>
      </c>
      <c r="M538">
        <v>8242</v>
      </c>
      <c r="N538" t="s">
        <v>61</v>
      </c>
      <c r="O538" t="s">
        <v>37</v>
      </c>
      <c r="P538" t="s">
        <v>52</v>
      </c>
      <c r="Q538">
        <v>7</v>
      </c>
      <c r="R538">
        <v>81.7</v>
      </c>
    </row>
    <row r="539" spans="1:18" x14ac:dyDescent="0.3">
      <c r="A539" t="s">
        <v>1139</v>
      </c>
      <c r="B539" t="s">
        <v>1140</v>
      </c>
      <c r="C539" t="s">
        <v>116</v>
      </c>
      <c r="D539" t="s">
        <v>82</v>
      </c>
      <c r="E539" s="4">
        <v>44067</v>
      </c>
      <c r="F539" t="s">
        <v>60</v>
      </c>
      <c r="G539" t="s">
        <v>44</v>
      </c>
      <c r="H539" t="s">
        <v>50</v>
      </c>
      <c r="I539" t="s">
        <v>51</v>
      </c>
      <c r="J539">
        <v>7</v>
      </c>
      <c r="K539">
        <v>127</v>
      </c>
      <c r="L539">
        <v>2290.9699999999998</v>
      </c>
      <c r="M539">
        <v>4516</v>
      </c>
      <c r="N539" t="s">
        <v>61</v>
      </c>
      <c r="O539" t="s">
        <v>62</v>
      </c>
      <c r="P539" t="s">
        <v>52</v>
      </c>
      <c r="Q539">
        <v>29</v>
      </c>
      <c r="R539">
        <v>213.96</v>
      </c>
    </row>
    <row r="540" spans="1:18" x14ac:dyDescent="0.3">
      <c r="A540" t="s">
        <v>1141</v>
      </c>
      <c r="B540" t="s">
        <v>1142</v>
      </c>
      <c r="C540" t="s">
        <v>68</v>
      </c>
      <c r="D540" t="s">
        <v>32</v>
      </c>
      <c r="E540" s="4">
        <v>40435</v>
      </c>
      <c r="F540" t="s">
        <v>65</v>
      </c>
      <c r="G540" t="s">
        <v>83</v>
      </c>
      <c r="H540" t="s">
        <v>70</v>
      </c>
      <c r="I540" t="s">
        <v>34</v>
      </c>
      <c r="J540">
        <v>8</v>
      </c>
      <c r="K540">
        <v>10</v>
      </c>
      <c r="L540">
        <v>4100.0200000000004</v>
      </c>
      <c r="M540">
        <v>48613</v>
      </c>
      <c r="N540" t="s">
        <v>36</v>
      </c>
      <c r="O540" t="s">
        <v>56</v>
      </c>
      <c r="P540" t="s">
        <v>28</v>
      </c>
      <c r="Q540">
        <v>40</v>
      </c>
      <c r="R540">
        <v>235.7</v>
      </c>
    </row>
    <row r="541" spans="1:18" x14ac:dyDescent="0.3">
      <c r="A541" t="s">
        <v>1143</v>
      </c>
      <c r="B541" t="s">
        <v>1144</v>
      </c>
      <c r="C541" t="s">
        <v>31</v>
      </c>
      <c r="D541" t="s">
        <v>21</v>
      </c>
      <c r="E541" s="4">
        <v>41907</v>
      </c>
      <c r="F541" t="s">
        <v>60</v>
      </c>
      <c r="G541" t="s">
        <v>44</v>
      </c>
      <c r="H541" t="s">
        <v>50</v>
      </c>
      <c r="I541" t="s">
        <v>35</v>
      </c>
      <c r="J541">
        <v>5</v>
      </c>
      <c r="K541">
        <v>306</v>
      </c>
      <c r="L541">
        <v>816.24</v>
      </c>
      <c r="M541">
        <v>21487</v>
      </c>
      <c r="N541" t="s">
        <v>36</v>
      </c>
      <c r="O541" t="s">
        <v>37</v>
      </c>
      <c r="P541" t="s">
        <v>52</v>
      </c>
      <c r="Q541">
        <v>13</v>
      </c>
      <c r="R541">
        <v>75.84</v>
      </c>
    </row>
    <row r="542" spans="1:18" x14ac:dyDescent="0.3">
      <c r="A542" t="s">
        <v>1145</v>
      </c>
      <c r="B542" t="s">
        <v>1146</v>
      </c>
      <c r="C542" t="s">
        <v>68</v>
      </c>
      <c r="D542" t="s">
        <v>109</v>
      </c>
      <c r="E542" s="4">
        <v>44883</v>
      </c>
      <c r="F542" t="s">
        <v>60</v>
      </c>
      <c r="G542" t="s">
        <v>44</v>
      </c>
      <c r="H542" t="s">
        <v>70</v>
      </c>
      <c r="I542" t="s">
        <v>35</v>
      </c>
      <c r="J542">
        <v>2</v>
      </c>
      <c r="K542">
        <v>1330</v>
      </c>
      <c r="L542">
        <v>170.13</v>
      </c>
      <c r="M542">
        <v>1383</v>
      </c>
      <c r="N542" t="s">
        <v>61</v>
      </c>
      <c r="O542" t="s">
        <v>37</v>
      </c>
      <c r="P542" t="s">
        <v>38</v>
      </c>
      <c r="Q542">
        <v>24</v>
      </c>
      <c r="R542">
        <v>29</v>
      </c>
    </row>
    <row r="543" spans="1:18" x14ac:dyDescent="0.3">
      <c r="A543" t="s">
        <v>1147</v>
      </c>
      <c r="B543" t="s">
        <v>1148</v>
      </c>
      <c r="C543" t="s">
        <v>68</v>
      </c>
      <c r="D543" t="s">
        <v>32</v>
      </c>
      <c r="E543" s="4">
        <v>41398</v>
      </c>
      <c r="F543" t="s">
        <v>43</v>
      </c>
      <c r="G543" t="s">
        <v>102</v>
      </c>
      <c r="H543" t="s">
        <v>34</v>
      </c>
      <c r="I543" t="s">
        <v>51</v>
      </c>
      <c r="J543">
        <v>7</v>
      </c>
      <c r="K543">
        <v>1411</v>
      </c>
      <c r="L543">
        <v>4825.84</v>
      </c>
      <c r="M543">
        <v>24718</v>
      </c>
      <c r="N543" t="s">
        <v>26</v>
      </c>
      <c r="O543" t="s">
        <v>56</v>
      </c>
      <c r="P543" t="s">
        <v>51</v>
      </c>
      <c r="Q543">
        <v>42</v>
      </c>
      <c r="R543">
        <v>89.98</v>
      </c>
    </row>
    <row r="544" spans="1:18" x14ac:dyDescent="0.3">
      <c r="A544" t="s">
        <v>1149</v>
      </c>
      <c r="B544" t="s">
        <v>1150</v>
      </c>
      <c r="C544" t="s">
        <v>97</v>
      </c>
      <c r="D544" t="s">
        <v>82</v>
      </c>
      <c r="E544" s="4">
        <v>43088</v>
      </c>
      <c r="F544" t="s">
        <v>60</v>
      </c>
      <c r="G544" t="s">
        <v>44</v>
      </c>
      <c r="H544" t="s">
        <v>34</v>
      </c>
      <c r="I544" t="s">
        <v>92</v>
      </c>
      <c r="J544">
        <v>3</v>
      </c>
      <c r="K544">
        <v>1230</v>
      </c>
      <c r="L544">
        <v>1796.81</v>
      </c>
      <c r="M544">
        <v>1561</v>
      </c>
      <c r="N544" t="s">
        <v>36</v>
      </c>
      <c r="O544" t="s">
        <v>27</v>
      </c>
      <c r="P544" t="s">
        <v>38</v>
      </c>
      <c r="Q544">
        <v>40</v>
      </c>
      <c r="R544">
        <v>204.04</v>
      </c>
    </row>
    <row r="545" spans="1:18" x14ac:dyDescent="0.3">
      <c r="A545" t="s">
        <v>1151</v>
      </c>
      <c r="B545" t="s">
        <v>1152</v>
      </c>
      <c r="C545" t="s">
        <v>68</v>
      </c>
      <c r="D545" t="s">
        <v>59</v>
      </c>
      <c r="E545" s="4">
        <v>44815</v>
      </c>
      <c r="F545" t="s">
        <v>22</v>
      </c>
      <c r="G545" t="s">
        <v>23</v>
      </c>
      <c r="H545" t="s">
        <v>24</v>
      </c>
      <c r="I545" t="s">
        <v>76</v>
      </c>
      <c r="J545">
        <v>6</v>
      </c>
      <c r="K545">
        <v>180</v>
      </c>
      <c r="L545">
        <v>2801.24</v>
      </c>
      <c r="M545">
        <v>34004</v>
      </c>
      <c r="N545" t="s">
        <v>26</v>
      </c>
      <c r="O545" t="s">
        <v>27</v>
      </c>
      <c r="P545" t="s">
        <v>52</v>
      </c>
      <c r="Q545">
        <v>3</v>
      </c>
      <c r="R545">
        <v>97.21</v>
      </c>
    </row>
    <row r="546" spans="1:18" x14ac:dyDescent="0.3">
      <c r="A546" t="s">
        <v>1153</v>
      </c>
      <c r="B546" t="s">
        <v>1154</v>
      </c>
      <c r="C546" t="s">
        <v>79</v>
      </c>
      <c r="D546" t="s">
        <v>109</v>
      </c>
      <c r="E546" s="4">
        <v>44807</v>
      </c>
      <c r="F546" t="s">
        <v>60</v>
      </c>
      <c r="G546" t="s">
        <v>33</v>
      </c>
      <c r="H546" t="s">
        <v>24</v>
      </c>
      <c r="I546" t="s">
        <v>76</v>
      </c>
      <c r="J546">
        <v>5</v>
      </c>
      <c r="K546">
        <v>1332</v>
      </c>
      <c r="L546">
        <v>2080.98</v>
      </c>
      <c r="M546">
        <v>27977</v>
      </c>
      <c r="N546" t="s">
        <v>26</v>
      </c>
      <c r="O546" t="s">
        <v>56</v>
      </c>
      <c r="P546" t="s">
        <v>38</v>
      </c>
      <c r="Q546">
        <v>28</v>
      </c>
      <c r="R546">
        <v>152.79</v>
      </c>
    </row>
    <row r="547" spans="1:18" x14ac:dyDescent="0.3">
      <c r="A547" t="s">
        <v>1155</v>
      </c>
      <c r="B547" t="s">
        <v>1156</v>
      </c>
      <c r="C547" t="s">
        <v>31</v>
      </c>
      <c r="D547" t="s">
        <v>42</v>
      </c>
      <c r="E547" s="4">
        <v>43736</v>
      </c>
      <c r="F547" t="s">
        <v>69</v>
      </c>
      <c r="G547" t="s">
        <v>83</v>
      </c>
      <c r="H547" t="s">
        <v>24</v>
      </c>
      <c r="I547" t="s">
        <v>76</v>
      </c>
      <c r="J547">
        <v>0</v>
      </c>
      <c r="K547">
        <v>718</v>
      </c>
      <c r="L547">
        <v>1308.5899999999999</v>
      </c>
      <c r="M547">
        <v>27287</v>
      </c>
      <c r="N547" t="s">
        <v>26</v>
      </c>
      <c r="O547" t="s">
        <v>27</v>
      </c>
      <c r="P547" t="s">
        <v>25</v>
      </c>
      <c r="Q547">
        <v>22</v>
      </c>
      <c r="R547">
        <v>202.36</v>
      </c>
    </row>
    <row r="548" spans="1:18" x14ac:dyDescent="0.3">
      <c r="A548" t="s">
        <v>1157</v>
      </c>
      <c r="B548" t="s">
        <v>1158</v>
      </c>
      <c r="C548" t="s">
        <v>20</v>
      </c>
      <c r="D548" t="s">
        <v>109</v>
      </c>
      <c r="E548" s="4">
        <v>43367</v>
      </c>
      <c r="F548" t="s">
        <v>60</v>
      </c>
      <c r="G548" t="s">
        <v>102</v>
      </c>
      <c r="H548" t="s">
        <v>75</v>
      </c>
      <c r="I548" t="s">
        <v>51</v>
      </c>
      <c r="J548">
        <v>1</v>
      </c>
      <c r="K548">
        <v>770</v>
      </c>
      <c r="L548">
        <v>3415.29</v>
      </c>
      <c r="M548">
        <v>8039</v>
      </c>
      <c r="N548" t="s">
        <v>61</v>
      </c>
      <c r="O548" t="s">
        <v>56</v>
      </c>
      <c r="P548" t="s">
        <v>25</v>
      </c>
      <c r="Q548">
        <v>36</v>
      </c>
      <c r="R548">
        <v>72.98</v>
      </c>
    </row>
    <row r="549" spans="1:18" x14ac:dyDescent="0.3">
      <c r="A549" t="s">
        <v>1159</v>
      </c>
      <c r="B549" t="s">
        <v>1160</v>
      </c>
      <c r="C549" t="s">
        <v>79</v>
      </c>
      <c r="D549" t="s">
        <v>59</v>
      </c>
      <c r="E549" s="4">
        <v>45102</v>
      </c>
      <c r="F549" t="s">
        <v>69</v>
      </c>
      <c r="G549" t="s">
        <v>49</v>
      </c>
      <c r="H549" t="s">
        <v>50</v>
      </c>
      <c r="I549" t="s">
        <v>35</v>
      </c>
      <c r="J549">
        <v>1</v>
      </c>
      <c r="K549">
        <v>1248</v>
      </c>
      <c r="L549">
        <v>633.58000000000004</v>
      </c>
      <c r="M549">
        <v>12284</v>
      </c>
      <c r="N549" t="s">
        <v>36</v>
      </c>
      <c r="O549" t="s">
        <v>62</v>
      </c>
      <c r="P549" t="s">
        <v>45</v>
      </c>
      <c r="Q549">
        <v>32</v>
      </c>
      <c r="R549">
        <v>197.69</v>
      </c>
    </row>
    <row r="550" spans="1:18" x14ac:dyDescent="0.3">
      <c r="A550" t="s">
        <v>1161</v>
      </c>
      <c r="B550" t="s">
        <v>1162</v>
      </c>
      <c r="C550" t="s">
        <v>116</v>
      </c>
      <c r="D550" t="s">
        <v>42</v>
      </c>
      <c r="E550" s="4">
        <v>43489</v>
      </c>
      <c r="F550" t="s">
        <v>69</v>
      </c>
      <c r="G550" t="s">
        <v>83</v>
      </c>
      <c r="H550" t="s">
        <v>34</v>
      </c>
      <c r="I550" t="s">
        <v>25</v>
      </c>
      <c r="J550">
        <v>8</v>
      </c>
      <c r="K550">
        <v>712</v>
      </c>
      <c r="L550">
        <v>2374.65</v>
      </c>
      <c r="M550">
        <v>34713</v>
      </c>
      <c r="N550" t="s">
        <v>26</v>
      </c>
      <c r="O550" t="s">
        <v>56</v>
      </c>
      <c r="P550" t="s">
        <v>38</v>
      </c>
      <c r="Q550">
        <v>48</v>
      </c>
      <c r="R550">
        <v>176.37</v>
      </c>
    </row>
    <row r="551" spans="1:18" x14ac:dyDescent="0.3">
      <c r="A551" t="s">
        <v>1163</v>
      </c>
      <c r="B551" t="s">
        <v>1164</v>
      </c>
      <c r="C551" t="s">
        <v>116</v>
      </c>
      <c r="D551" t="s">
        <v>82</v>
      </c>
      <c r="E551" s="4">
        <v>45551</v>
      </c>
      <c r="F551" t="s">
        <v>22</v>
      </c>
      <c r="G551" t="s">
        <v>83</v>
      </c>
      <c r="H551" t="s">
        <v>70</v>
      </c>
      <c r="I551" t="s">
        <v>51</v>
      </c>
      <c r="J551">
        <v>5</v>
      </c>
      <c r="K551">
        <v>1086</v>
      </c>
      <c r="L551">
        <v>1544.42</v>
      </c>
      <c r="M551">
        <v>18195</v>
      </c>
      <c r="N551" t="s">
        <v>36</v>
      </c>
      <c r="O551" t="s">
        <v>27</v>
      </c>
      <c r="P551" t="s">
        <v>25</v>
      </c>
      <c r="Q551">
        <v>21</v>
      </c>
      <c r="R551">
        <v>217.22</v>
      </c>
    </row>
    <row r="552" spans="1:18" x14ac:dyDescent="0.3">
      <c r="A552" t="s">
        <v>1165</v>
      </c>
      <c r="B552" t="s">
        <v>1166</v>
      </c>
      <c r="C552" t="s">
        <v>31</v>
      </c>
      <c r="D552" t="s">
        <v>109</v>
      </c>
      <c r="E552" s="4">
        <v>43304</v>
      </c>
      <c r="F552" t="s">
        <v>48</v>
      </c>
      <c r="G552" t="s">
        <v>33</v>
      </c>
      <c r="H552" t="s">
        <v>70</v>
      </c>
      <c r="I552" t="s">
        <v>51</v>
      </c>
      <c r="J552">
        <v>2</v>
      </c>
      <c r="K552">
        <v>1116</v>
      </c>
      <c r="L552">
        <v>4986.34</v>
      </c>
      <c r="M552">
        <v>45141</v>
      </c>
      <c r="N552" t="s">
        <v>36</v>
      </c>
      <c r="O552" t="s">
        <v>37</v>
      </c>
      <c r="P552" t="s">
        <v>45</v>
      </c>
      <c r="Q552">
        <v>11</v>
      </c>
      <c r="R552">
        <v>155.55000000000001</v>
      </c>
    </row>
    <row r="553" spans="1:18" x14ac:dyDescent="0.3">
      <c r="A553" t="s">
        <v>1167</v>
      </c>
      <c r="B553" t="s">
        <v>1168</v>
      </c>
      <c r="C553" t="s">
        <v>97</v>
      </c>
      <c r="D553" t="s">
        <v>21</v>
      </c>
      <c r="E553" s="4">
        <v>45864</v>
      </c>
      <c r="F553" t="s">
        <v>69</v>
      </c>
      <c r="G553" t="s">
        <v>44</v>
      </c>
      <c r="H553" t="s">
        <v>34</v>
      </c>
      <c r="I553" t="s">
        <v>51</v>
      </c>
      <c r="J553">
        <v>7</v>
      </c>
      <c r="K553">
        <v>597</v>
      </c>
      <c r="L553">
        <v>3715.6</v>
      </c>
      <c r="M553">
        <v>9722</v>
      </c>
      <c r="N553" t="s">
        <v>36</v>
      </c>
      <c r="O553" t="s">
        <v>27</v>
      </c>
      <c r="P553" t="s">
        <v>51</v>
      </c>
      <c r="Q553">
        <v>8</v>
      </c>
      <c r="R553">
        <v>87.8</v>
      </c>
    </row>
    <row r="554" spans="1:18" x14ac:dyDescent="0.3">
      <c r="A554" t="s">
        <v>1169</v>
      </c>
      <c r="B554" t="s">
        <v>1170</v>
      </c>
      <c r="C554" t="s">
        <v>97</v>
      </c>
      <c r="D554" t="s">
        <v>32</v>
      </c>
      <c r="E554" s="4">
        <v>41134</v>
      </c>
      <c r="F554" t="s">
        <v>65</v>
      </c>
      <c r="G554" t="s">
        <v>83</v>
      </c>
      <c r="H554" t="s">
        <v>70</v>
      </c>
      <c r="I554" t="s">
        <v>35</v>
      </c>
      <c r="J554">
        <v>3</v>
      </c>
      <c r="K554">
        <v>799</v>
      </c>
      <c r="L554">
        <v>2042.82</v>
      </c>
      <c r="M554">
        <v>45293</v>
      </c>
      <c r="N554" t="s">
        <v>61</v>
      </c>
      <c r="O554" t="s">
        <v>37</v>
      </c>
      <c r="P554" t="s">
        <v>25</v>
      </c>
      <c r="Q554">
        <v>11</v>
      </c>
      <c r="R554">
        <v>95.98</v>
      </c>
    </row>
    <row r="555" spans="1:18" x14ac:dyDescent="0.3">
      <c r="A555" t="s">
        <v>1171</v>
      </c>
      <c r="B555" t="s">
        <v>1172</v>
      </c>
      <c r="C555" t="s">
        <v>97</v>
      </c>
      <c r="D555" t="s">
        <v>109</v>
      </c>
      <c r="E555" s="4">
        <v>44999</v>
      </c>
      <c r="F555" t="s">
        <v>48</v>
      </c>
      <c r="G555" t="s">
        <v>102</v>
      </c>
      <c r="H555" t="s">
        <v>34</v>
      </c>
      <c r="I555" t="s">
        <v>92</v>
      </c>
      <c r="J555">
        <v>4</v>
      </c>
      <c r="K555">
        <v>28</v>
      </c>
      <c r="L555">
        <v>418.57</v>
      </c>
      <c r="M555">
        <v>2773</v>
      </c>
      <c r="N555" t="s">
        <v>26</v>
      </c>
      <c r="O555" t="s">
        <v>37</v>
      </c>
      <c r="P555" t="s">
        <v>25</v>
      </c>
      <c r="Q555">
        <v>49</v>
      </c>
      <c r="R555">
        <v>163.92</v>
      </c>
    </row>
    <row r="556" spans="1:18" x14ac:dyDescent="0.3">
      <c r="A556" t="s">
        <v>1173</v>
      </c>
      <c r="B556" t="s">
        <v>1174</v>
      </c>
      <c r="C556" t="s">
        <v>79</v>
      </c>
      <c r="D556" t="s">
        <v>109</v>
      </c>
      <c r="E556" s="4">
        <v>44540</v>
      </c>
      <c r="F556" t="s">
        <v>43</v>
      </c>
      <c r="G556" t="s">
        <v>23</v>
      </c>
      <c r="H556" t="s">
        <v>55</v>
      </c>
      <c r="I556" t="s">
        <v>34</v>
      </c>
      <c r="J556">
        <v>6</v>
      </c>
      <c r="K556">
        <v>1414</v>
      </c>
      <c r="L556">
        <v>2062.02</v>
      </c>
      <c r="M556">
        <v>31338</v>
      </c>
      <c r="N556" t="s">
        <v>36</v>
      </c>
      <c r="O556" t="s">
        <v>56</v>
      </c>
      <c r="P556" t="s">
        <v>38</v>
      </c>
      <c r="Q556">
        <v>21</v>
      </c>
      <c r="R556">
        <v>61.15</v>
      </c>
    </row>
    <row r="557" spans="1:18" x14ac:dyDescent="0.3">
      <c r="A557" t="s">
        <v>1175</v>
      </c>
      <c r="B557" t="s">
        <v>1176</v>
      </c>
      <c r="C557" t="s">
        <v>79</v>
      </c>
      <c r="D557" t="s">
        <v>82</v>
      </c>
      <c r="E557" s="4">
        <v>41639</v>
      </c>
      <c r="F557" t="s">
        <v>65</v>
      </c>
      <c r="G557" t="s">
        <v>33</v>
      </c>
      <c r="H557" t="s">
        <v>75</v>
      </c>
      <c r="I557" t="s">
        <v>51</v>
      </c>
      <c r="J557">
        <v>6</v>
      </c>
      <c r="K557">
        <v>1051</v>
      </c>
      <c r="L557">
        <v>4950.28</v>
      </c>
      <c r="M557">
        <v>16448</v>
      </c>
      <c r="N557" t="s">
        <v>26</v>
      </c>
      <c r="O557" t="s">
        <v>56</v>
      </c>
      <c r="P557" t="s">
        <v>51</v>
      </c>
      <c r="Q557">
        <v>12</v>
      </c>
      <c r="R557">
        <v>59.6</v>
      </c>
    </row>
    <row r="558" spans="1:18" x14ac:dyDescent="0.3">
      <c r="A558" t="s">
        <v>1177</v>
      </c>
      <c r="B558" t="s">
        <v>1178</v>
      </c>
      <c r="C558" t="s">
        <v>20</v>
      </c>
      <c r="D558" t="s">
        <v>42</v>
      </c>
      <c r="E558" s="4">
        <v>41078</v>
      </c>
      <c r="F558" t="s">
        <v>65</v>
      </c>
      <c r="G558" t="s">
        <v>23</v>
      </c>
      <c r="H558" t="s">
        <v>34</v>
      </c>
      <c r="I558" t="s">
        <v>34</v>
      </c>
      <c r="J558">
        <v>5</v>
      </c>
      <c r="K558">
        <v>138</v>
      </c>
      <c r="L558">
        <v>842.26</v>
      </c>
      <c r="M558">
        <v>26056</v>
      </c>
      <c r="N558" t="s">
        <v>61</v>
      </c>
      <c r="O558" t="s">
        <v>56</v>
      </c>
      <c r="P558" t="s">
        <v>52</v>
      </c>
      <c r="Q558">
        <v>41</v>
      </c>
      <c r="R558">
        <v>209.33</v>
      </c>
    </row>
    <row r="559" spans="1:18" x14ac:dyDescent="0.3">
      <c r="A559" t="s">
        <v>1179</v>
      </c>
      <c r="B559" t="s">
        <v>1180</v>
      </c>
      <c r="C559" t="s">
        <v>116</v>
      </c>
      <c r="D559" t="s">
        <v>109</v>
      </c>
      <c r="E559" s="4">
        <v>42399</v>
      </c>
      <c r="F559" t="s">
        <v>48</v>
      </c>
      <c r="G559" t="s">
        <v>102</v>
      </c>
      <c r="H559" t="s">
        <v>50</v>
      </c>
      <c r="I559" t="s">
        <v>76</v>
      </c>
      <c r="J559">
        <v>3</v>
      </c>
      <c r="K559">
        <v>5</v>
      </c>
      <c r="L559">
        <v>2894.55</v>
      </c>
      <c r="M559">
        <v>1315</v>
      </c>
      <c r="N559" t="s">
        <v>36</v>
      </c>
      <c r="O559" t="s">
        <v>56</v>
      </c>
      <c r="P559" t="s">
        <v>51</v>
      </c>
      <c r="Q559">
        <v>48</v>
      </c>
      <c r="R559">
        <v>198.23</v>
      </c>
    </row>
    <row r="560" spans="1:18" x14ac:dyDescent="0.3">
      <c r="A560" t="s">
        <v>1181</v>
      </c>
      <c r="B560" t="s">
        <v>1182</v>
      </c>
      <c r="C560" t="s">
        <v>116</v>
      </c>
      <c r="D560" t="s">
        <v>82</v>
      </c>
      <c r="E560" s="4">
        <v>40403</v>
      </c>
      <c r="F560" t="s">
        <v>69</v>
      </c>
      <c r="G560" t="s">
        <v>23</v>
      </c>
      <c r="H560" t="s">
        <v>24</v>
      </c>
      <c r="I560" t="s">
        <v>35</v>
      </c>
      <c r="J560">
        <v>5</v>
      </c>
      <c r="K560">
        <v>991</v>
      </c>
      <c r="L560">
        <v>2209.5</v>
      </c>
      <c r="M560">
        <v>3330</v>
      </c>
      <c r="N560" t="s">
        <v>36</v>
      </c>
      <c r="O560" t="s">
        <v>27</v>
      </c>
      <c r="P560" t="s">
        <v>25</v>
      </c>
      <c r="Q560">
        <v>29</v>
      </c>
      <c r="R560">
        <v>59.25</v>
      </c>
    </row>
    <row r="561" spans="1:18" x14ac:dyDescent="0.3">
      <c r="A561" t="s">
        <v>1183</v>
      </c>
      <c r="B561" t="s">
        <v>1184</v>
      </c>
      <c r="C561" t="s">
        <v>41</v>
      </c>
      <c r="D561" t="s">
        <v>21</v>
      </c>
      <c r="E561" s="4">
        <v>45087</v>
      </c>
      <c r="F561" t="s">
        <v>48</v>
      </c>
      <c r="G561" t="s">
        <v>44</v>
      </c>
      <c r="H561" t="s">
        <v>55</v>
      </c>
      <c r="I561" t="s">
        <v>51</v>
      </c>
      <c r="J561">
        <v>6</v>
      </c>
      <c r="K561">
        <v>867</v>
      </c>
      <c r="L561">
        <v>2167.96</v>
      </c>
      <c r="M561">
        <v>45631</v>
      </c>
      <c r="N561" t="s">
        <v>61</v>
      </c>
      <c r="O561" t="s">
        <v>27</v>
      </c>
      <c r="P561" t="s">
        <v>38</v>
      </c>
      <c r="Q561">
        <v>22</v>
      </c>
      <c r="R561">
        <v>74.989999999999995</v>
      </c>
    </row>
    <row r="562" spans="1:18" x14ac:dyDescent="0.3">
      <c r="A562" t="s">
        <v>1185</v>
      </c>
      <c r="B562" t="s">
        <v>1186</v>
      </c>
      <c r="C562" t="s">
        <v>116</v>
      </c>
      <c r="D562" t="s">
        <v>109</v>
      </c>
      <c r="E562" s="4">
        <v>42665</v>
      </c>
      <c r="F562" t="s">
        <v>22</v>
      </c>
      <c r="G562" t="s">
        <v>33</v>
      </c>
      <c r="H562" t="s">
        <v>70</v>
      </c>
      <c r="I562" t="s">
        <v>25</v>
      </c>
      <c r="J562">
        <v>8</v>
      </c>
      <c r="K562">
        <v>780</v>
      </c>
      <c r="L562">
        <v>1153.82</v>
      </c>
      <c r="M562">
        <v>6866</v>
      </c>
      <c r="N562" t="s">
        <v>36</v>
      </c>
      <c r="O562" t="s">
        <v>56</v>
      </c>
      <c r="P562" t="s">
        <v>51</v>
      </c>
      <c r="Q562">
        <v>33</v>
      </c>
      <c r="R562">
        <v>160.69</v>
      </c>
    </row>
    <row r="563" spans="1:18" x14ac:dyDescent="0.3">
      <c r="A563" t="s">
        <v>1187</v>
      </c>
      <c r="B563" t="s">
        <v>1188</v>
      </c>
      <c r="C563" t="s">
        <v>20</v>
      </c>
      <c r="D563" t="s">
        <v>32</v>
      </c>
      <c r="E563" s="4">
        <v>46010</v>
      </c>
      <c r="F563" t="s">
        <v>60</v>
      </c>
      <c r="G563" t="s">
        <v>44</v>
      </c>
      <c r="H563" t="s">
        <v>75</v>
      </c>
      <c r="I563" t="s">
        <v>76</v>
      </c>
      <c r="J563">
        <v>8</v>
      </c>
      <c r="K563">
        <v>1057</v>
      </c>
      <c r="L563">
        <v>2089.48</v>
      </c>
      <c r="M563">
        <v>25390</v>
      </c>
      <c r="N563" t="s">
        <v>26</v>
      </c>
      <c r="O563" t="s">
        <v>37</v>
      </c>
      <c r="P563" t="s">
        <v>38</v>
      </c>
      <c r="Q563">
        <v>18</v>
      </c>
      <c r="R563">
        <v>24.59</v>
      </c>
    </row>
    <row r="564" spans="1:18" x14ac:dyDescent="0.3">
      <c r="A564" t="s">
        <v>1189</v>
      </c>
      <c r="B564" t="s">
        <v>1190</v>
      </c>
      <c r="C564" t="s">
        <v>116</v>
      </c>
      <c r="D564" t="s">
        <v>109</v>
      </c>
      <c r="E564" s="4">
        <v>44760</v>
      </c>
      <c r="F564" t="s">
        <v>60</v>
      </c>
      <c r="G564" t="s">
        <v>33</v>
      </c>
      <c r="H564" t="s">
        <v>24</v>
      </c>
      <c r="I564" t="s">
        <v>76</v>
      </c>
      <c r="J564">
        <v>0</v>
      </c>
      <c r="K564">
        <v>875</v>
      </c>
      <c r="L564">
        <v>3669.32</v>
      </c>
      <c r="M564">
        <v>15406</v>
      </c>
      <c r="N564" t="s">
        <v>36</v>
      </c>
      <c r="O564" t="s">
        <v>56</v>
      </c>
      <c r="P564" t="s">
        <v>38</v>
      </c>
      <c r="Q564">
        <v>17</v>
      </c>
      <c r="R564">
        <v>71.09</v>
      </c>
    </row>
    <row r="565" spans="1:18" x14ac:dyDescent="0.3">
      <c r="A565" t="s">
        <v>1191</v>
      </c>
      <c r="B565" t="s">
        <v>1192</v>
      </c>
      <c r="C565" t="s">
        <v>68</v>
      </c>
      <c r="D565" t="s">
        <v>109</v>
      </c>
      <c r="E565" s="4">
        <v>41590</v>
      </c>
      <c r="F565" t="s">
        <v>69</v>
      </c>
      <c r="G565" t="s">
        <v>23</v>
      </c>
      <c r="H565" t="s">
        <v>34</v>
      </c>
      <c r="I565" t="s">
        <v>76</v>
      </c>
      <c r="J565">
        <v>3</v>
      </c>
      <c r="K565">
        <v>845</v>
      </c>
      <c r="L565">
        <v>3977.6</v>
      </c>
      <c r="M565">
        <v>34399</v>
      </c>
      <c r="N565" t="s">
        <v>36</v>
      </c>
      <c r="O565" t="s">
        <v>37</v>
      </c>
      <c r="P565" t="s">
        <v>25</v>
      </c>
      <c r="Q565">
        <v>9</v>
      </c>
      <c r="R565">
        <v>119.86</v>
      </c>
    </row>
    <row r="566" spans="1:18" x14ac:dyDescent="0.3">
      <c r="A566" t="s">
        <v>1193</v>
      </c>
      <c r="B566" t="s">
        <v>1194</v>
      </c>
      <c r="C566" t="s">
        <v>20</v>
      </c>
      <c r="D566" t="s">
        <v>82</v>
      </c>
      <c r="E566" s="4">
        <v>40424</v>
      </c>
      <c r="F566" t="s">
        <v>60</v>
      </c>
      <c r="G566" t="s">
        <v>33</v>
      </c>
      <c r="H566" t="s">
        <v>24</v>
      </c>
      <c r="I566" t="s">
        <v>25</v>
      </c>
      <c r="J566">
        <v>7</v>
      </c>
      <c r="K566">
        <v>1061</v>
      </c>
      <c r="L566">
        <v>2949.91</v>
      </c>
      <c r="M566">
        <v>5717</v>
      </c>
      <c r="N566" t="s">
        <v>26</v>
      </c>
      <c r="O566" t="s">
        <v>62</v>
      </c>
      <c r="P566" t="s">
        <v>51</v>
      </c>
      <c r="Q566">
        <v>46</v>
      </c>
      <c r="R566">
        <v>186.48</v>
      </c>
    </row>
    <row r="567" spans="1:18" x14ac:dyDescent="0.3">
      <c r="A567" t="s">
        <v>1195</v>
      </c>
      <c r="B567" t="s">
        <v>1196</v>
      </c>
      <c r="C567" t="s">
        <v>68</v>
      </c>
      <c r="D567" t="s">
        <v>59</v>
      </c>
      <c r="E567" s="4">
        <v>43453</v>
      </c>
      <c r="F567" t="s">
        <v>48</v>
      </c>
      <c r="G567" t="s">
        <v>49</v>
      </c>
      <c r="H567" t="s">
        <v>55</v>
      </c>
      <c r="I567" t="s">
        <v>51</v>
      </c>
      <c r="J567">
        <v>3</v>
      </c>
      <c r="K567">
        <v>623</v>
      </c>
      <c r="L567">
        <v>2596.42</v>
      </c>
      <c r="M567">
        <v>44718</v>
      </c>
      <c r="N567" t="s">
        <v>36</v>
      </c>
      <c r="O567" t="s">
        <v>62</v>
      </c>
      <c r="P567" t="s">
        <v>51</v>
      </c>
      <c r="Q567">
        <v>32</v>
      </c>
      <c r="R567">
        <v>177.27</v>
      </c>
    </row>
    <row r="568" spans="1:18" x14ac:dyDescent="0.3">
      <c r="A568" t="s">
        <v>1197</v>
      </c>
      <c r="B568" t="s">
        <v>1198</v>
      </c>
      <c r="C568" t="s">
        <v>79</v>
      </c>
      <c r="D568" t="s">
        <v>82</v>
      </c>
      <c r="E568" s="4">
        <v>43178</v>
      </c>
      <c r="F568" t="s">
        <v>22</v>
      </c>
      <c r="G568" t="s">
        <v>44</v>
      </c>
      <c r="H568" t="s">
        <v>24</v>
      </c>
      <c r="I568" t="s">
        <v>92</v>
      </c>
      <c r="J568">
        <v>1</v>
      </c>
      <c r="K568">
        <v>348</v>
      </c>
      <c r="L568">
        <v>3485.52</v>
      </c>
      <c r="M568">
        <v>21918</v>
      </c>
      <c r="N568" t="s">
        <v>36</v>
      </c>
      <c r="O568" t="s">
        <v>56</v>
      </c>
      <c r="P568" t="s">
        <v>38</v>
      </c>
      <c r="Q568">
        <v>45</v>
      </c>
      <c r="R568">
        <v>102.69</v>
      </c>
    </row>
    <row r="569" spans="1:18" x14ac:dyDescent="0.3">
      <c r="A569" t="s">
        <v>1199</v>
      </c>
      <c r="B569" t="s">
        <v>1200</v>
      </c>
      <c r="C569" t="s">
        <v>31</v>
      </c>
      <c r="D569" t="s">
        <v>32</v>
      </c>
      <c r="E569" s="4">
        <v>41394</v>
      </c>
      <c r="F569" t="s">
        <v>65</v>
      </c>
      <c r="G569" t="s">
        <v>102</v>
      </c>
      <c r="H569" t="s">
        <v>50</v>
      </c>
      <c r="I569" t="s">
        <v>35</v>
      </c>
      <c r="J569">
        <v>2</v>
      </c>
      <c r="K569">
        <v>671</v>
      </c>
      <c r="L569">
        <v>4607.5600000000004</v>
      </c>
      <c r="M569">
        <v>27856</v>
      </c>
      <c r="N569" t="s">
        <v>61</v>
      </c>
      <c r="O569" t="s">
        <v>37</v>
      </c>
      <c r="P569" t="s">
        <v>51</v>
      </c>
      <c r="Q569">
        <v>25</v>
      </c>
      <c r="R569">
        <v>230.27</v>
      </c>
    </row>
    <row r="570" spans="1:18" x14ac:dyDescent="0.3">
      <c r="A570" t="s">
        <v>1201</v>
      </c>
      <c r="B570" t="s">
        <v>1202</v>
      </c>
      <c r="C570" t="s">
        <v>116</v>
      </c>
      <c r="D570" t="s">
        <v>32</v>
      </c>
      <c r="E570" s="4">
        <v>44604</v>
      </c>
      <c r="F570" t="s">
        <v>60</v>
      </c>
      <c r="G570" t="s">
        <v>49</v>
      </c>
      <c r="H570" t="s">
        <v>75</v>
      </c>
      <c r="I570" t="s">
        <v>25</v>
      </c>
      <c r="J570">
        <v>8</v>
      </c>
      <c r="K570">
        <v>608</v>
      </c>
      <c r="L570">
        <v>3438.4</v>
      </c>
      <c r="M570">
        <v>34343</v>
      </c>
      <c r="N570" t="s">
        <v>36</v>
      </c>
      <c r="O570" t="s">
        <v>62</v>
      </c>
      <c r="P570" t="s">
        <v>38</v>
      </c>
      <c r="Q570">
        <v>21</v>
      </c>
      <c r="R570">
        <v>148.38999999999999</v>
      </c>
    </row>
    <row r="571" spans="1:18" x14ac:dyDescent="0.3">
      <c r="A571" t="s">
        <v>1203</v>
      </c>
      <c r="B571" t="s">
        <v>1204</v>
      </c>
      <c r="C571" t="s">
        <v>31</v>
      </c>
      <c r="D571" t="s">
        <v>82</v>
      </c>
      <c r="E571" s="4">
        <v>44850</v>
      </c>
      <c r="F571" t="s">
        <v>43</v>
      </c>
      <c r="G571" t="s">
        <v>49</v>
      </c>
      <c r="H571" t="s">
        <v>34</v>
      </c>
      <c r="I571" t="s">
        <v>92</v>
      </c>
      <c r="J571">
        <v>2</v>
      </c>
      <c r="K571">
        <v>730</v>
      </c>
      <c r="L571">
        <v>4251.16</v>
      </c>
      <c r="M571">
        <v>15962</v>
      </c>
      <c r="N571" t="s">
        <v>61</v>
      </c>
      <c r="O571" t="s">
        <v>27</v>
      </c>
      <c r="P571" t="s">
        <v>51</v>
      </c>
      <c r="Q571">
        <v>47</v>
      </c>
      <c r="R571">
        <v>41.7</v>
      </c>
    </row>
    <row r="572" spans="1:18" x14ac:dyDescent="0.3">
      <c r="A572" t="s">
        <v>1205</v>
      </c>
      <c r="B572" t="s">
        <v>1206</v>
      </c>
      <c r="C572" t="s">
        <v>97</v>
      </c>
      <c r="D572" t="s">
        <v>21</v>
      </c>
      <c r="E572" s="4">
        <v>44641</v>
      </c>
      <c r="F572" t="s">
        <v>60</v>
      </c>
      <c r="G572" t="s">
        <v>44</v>
      </c>
      <c r="H572" t="s">
        <v>75</v>
      </c>
      <c r="I572" t="s">
        <v>25</v>
      </c>
      <c r="J572">
        <v>2</v>
      </c>
      <c r="K572">
        <v>148</v>
      </c>
      <c r="L572">
        <v>2934.71</v>
      </c>
      <c r="M572">
        <v>2524</v>
      </c>
      <c r="N572" t="s">
        <v>26</v>
      </c>
      <c r="O572" t="s">
        <v>62</v>
      </c>
      <c r="P572" t="s">
        <v>28</v>
      </c>
      <c r="Q572">
        <v>44</v>
      </c>
      <c r="R572">
        <v>56.65</v>
      </c>
    </row>
    <row r="573" spans="1:18" x14ac:dyDescent="0.3">
      <c r="A573" t="s">
        <v>1207</v>
      </c>
      <c r="B573" t="s">
        <v>1208</v>
      </c>
      <c r="C573" t="s">
        <v>31</v>
      </c>
      <c r="D573" t="s">
        <v>109</v>
      </c>
      <c r="E573" s="4">
        <v>40985</v>
      </c>
      <c r="F573" t="s">
        <v>22</v>
      </c>
      <c r="G573" t="s">
        <v>83</v>
      </c>
      <c r="H573" t="s">
        <v>75</v>
      </c>
      <c r="I573" t="s">
        <v>51</v>
      </c>
      <c r="J573">
        <v>1</v>
      </c>
      <c r="K573">
        <v>364</v>
      </c>
      <c r="L573">
        <v>1011.26</v>
      </c>
      <c r="M573">
        <v>7486</v>
      </c>
      <c r="N573" t="s">
        <v>26</v>
      </c>
      <c r="O573" t="s">
        <v>37</v>
      </c>
      <c r="P573" t="s">
        <v>45</v>
      </c>
      <c r="Q573">
        <v>37</v>
      </c>
      <c r="R573">
        <v>156.66</v>
      </c>
    </row>
    <row r="574" spans="1:18" x14ac:dyDescent="0.3">
      <c r="A574" t="s">
        <v>1209</v>
      </c>
      <c r="B574" t="s">
        <v>1210</v>
      </c>
      <c r="C574" t="s">
        <v>31</v>
      </c>
      <c r="D574" t="s">
        <v>109</v>
      </c>
      <c r="E574" s="4">
        <v>41838</v>
      </c>
      <c r="F574" t="s">
        <v>43</v>
      </c>
      <c r="G574" t="s">
        <v>33</v>
      </c>
      <c r="H574" t="s">
        <v>70</v>
      </c>
      <c r="I574" t="s">
        <v>76</v>
      </c>
      <c r="J574">
        <v>1</v>
      </c>
      <c r="K574">
        <v>580</v>
      </c>
      <c r="L574">
        <v>2094.0500000000002</v>
      </c>
      <c r="M574">
        <v>6723</v>
      </c>
      <c r="N574" t="s">
        <v>36</v>
      </c>
      <c r="O574" t="s">
        <v>27</v>
      </c>
      <c r="P574" t="s">
        <v>51</v>
      </c>
      <c r="Q574">
        <v>49</v>
      </c>
      <c r="R574">
        <v>32.49</v>
      </c>
    </row>
    <row r="575" spans="1:18" x14ac:dyDescent="0.3">
      <c r="A575" t="s">
        <v>1211</v>
      </c>
      <c r="B575" t="s">
        <v>1212</v>
      </c>
      <c r="C575" t="s">
        <v>68</v>
      </c>
      <c r="D575" t="s">
        <v>59</v>
      </c>
      <c r="E575" s="4">
        <v>43508</v>
      </c>
      <c r="F575" t="s">
        <v>69</v>
      </c>
      <c r="G575" t="s">
        <v>49</v>
      </c>
      <c r="H575" t="s">
        <v>55</v>
      </c>
      <c r="I575" t="s">
        <v>25</v>
      </c>
      <c r="J575">
        <v>8</v>
      </c>
      <c r="K575">
        <v>84</v>
      </c>
      <c r="L575">
        <v>232.54</v>
      </c>
      <c r="M575">
        <v>13615</v>
      </c>
      <c r="N575" t="s">
        <v>26</v>
      </c>
      <c r="O575" t="s">
        <v>62</v>
      </c>
      <c r="P575" t="s">
        <v>25</v>
      </c>
      <c r="Q575">
        <v>47</v>
      </c>
      <c r="R575">
        <v>190.54</v>
      </c>
    </row>
    <row r="576" spans="1:18" x14ac:dyDescent="0.3">
      <c r="A576" t="s">
        <v>1213</v>
      </c>
      <c r="B576" t="s">
        <v>1214</v>
      </c>
      <c r="C576" t="s">
        <v>68</v>
      </c>
      <c r="D576" t="s">
        <v>59</v>
      </c>
      <c r="E576" s="4">
        <v>41269</v>
      </c>
      <c r="F576" t="s">
        <v>43</v>
      </c>
      <c r="G576" t="s">
        <v>23</v>
      </c>
      <c r="H576" t="s">
        <v>34</v>
      </c>
      <c r="I576" t="s">
        <v>76</v>
      </c>
      <c r="J576">
        <v>5</v>
      </c>
      <c r="K576">
        <v>344</v>
      </c>
      <c r="L576">
        <v>4545.63</v>
      </c>
      <c r="M576">
        <v>43045</v>
      </c>
      <c r="N576" t="s">
        <v>36</v>
      </c>
      <c r="O576" t="s">
        <v>56</v>
      </c>
      <c r="P576" t="s">
        <v>28</v>
      </c>
      <c r="Q576">
        <v>37</v>
      </c>
      <c r="R576">
        <v>83.06</v>
      </c>
    </row>
    <row r="577" spans="1:18" x14ac:dyDescent="0.3">
      <c r="A577" t="s">
        <v>1215</v>
      </c>
      <c r="B577" t="s">
        <v>1216</v>
      </c>
      <c r="C577" t="s">
        <v>116</v>
      </c>
      <c r="D577" t="s">
        <v>21</v>
      </c>
      <c r="E577" s="4">
        <v>45817</v>
      </c>
      <c r="F577" t="s">
        <v>48</v>
      </c>
      <c r="G577" t="s">
        <v>83</v>
      </c>
      <c r="H577" t="s">
        <v>50</v>
      </c>
      <c r="I577" t="s">
        <v>25</v>
      </c>
      <c r="J577">
        <v>2</v>
      </c>
      <c r="K577">
        <v>1395</v>
      </c>
      <c r="L577">
        <v>229.28</v>
      </c>
      <c r="M577">
        <v>1441</v>
      </c>
      <c r="N577" t="s">
        <v>26</v>
      </c>
      <c r="O577" t="s">
        <v>62</v>
      </c>
      <c r="P577" t="s">
        <v>45</v>
      </c>
      <c r="Q577">
        <v>26</v>
      </c>
      <c r="R577">
        <v>116.89</v>
      </c>
    </row>
    <row r="578" spans="1:18" x14ac:dyDescent="0.3">
      <c r="A578" t="s">
        <v>1217</v>
      </c>
      <c r="B578" t="s">
        <v>1218</v>
      </c>
      <c r="C578" t="s">
        <v>20</v>
      </c>
      <c r="D578" t="s">
        <v>59</v>
      </c>
      <c r="E578" s="4">
        <v>40713</v>
      </c>
      <c r="F578" t="s">
        <v>48</v>
      </c>
      <c r="G578" t="s">
        <v>49</v>
      </c>
      <c r="H578" t="s">
        <v>55</v>
      </c>
      <c r="I578" t="s">
        <v>92</v>
      </c>
      <c r="J578">
        <v>3</v>
      </c>
      <c r="K578">
        <v>1367</v>
      </c>
      <c r="L578">
        <v>3766.87</v>
      </c>
      <c r="M578">
        <v>30438</v>
      </c>
      <c r="N578" t="s">
        <v>26</v>
      </c>
      <c r="O578" t="s">
        <v>37</v>
      </c>
      <c r="P578" t="s">
        <v>38</v>
      </c>
      <c r="Q578">
        <v>44</v>
      </c>
      <c r="R578">
        <v>140.33000000000001</v>
      </c>
    </row>
    <row r="579" spans="1:18" x14ac:dyDescent="0.3">
      <c r="A579" t="s">
        <v>1219</v>
      </c>
      <c r="B579" t="s">
        <v>1220</v>
      </c>
      <c r="C579" t="s">
        <v>20</v>
      </c>
      <c r="D579" t="s">
        <v>109</v>
      </c>
      <c r="E579" s="4">
        <v>41571</v>
      </c>
      <c r="F579" t="s">
        <v>65</v>
      </c>
      <c r="G579" t="s">
        <v>49</v>
      </c>
      <c r="H579" t="s">
        <v>24</v>
      </c>
      <c r="I579" t="s">
        <v>34</v>
      </c>
      <c r="J579">
        <v>1</v>
      </c>
      <c r="K579">
        <v>1267</v>
      </c>
      <c r="L579">
        <v>1311.95</v>
      </c>
      <c r="M579">
        <v>16936</v>
      </c>
      <c r="N579" t="s">
        <v>36</v>
      </c>
      <c r="O579" t="s">
        <v>27</v>
      </c>
      <c r="P579" t="s">
        <v>51</v>
      </c>
      <c r="Q579">
        <v>25</v>
      </c>
      <c r="R579">
        <v>7.17</v>
      </c>
    </row>
    <row r="580" spans="1:18" x14ac:dyDescent="0.3">
      <c r="A580" t="s">
        <v>1221</v>
      </c>
      <c r="B580" t="s">
        <v>1222</v>
      </c>
      <c r="C580" t="s">
        <v>79</v>
      </c>
      <c r="D580" t="s">
        <v>59</v>
      </c>
      <c r="E580" s="4">
        <v>42313</v>
      </c>
      <c r="F580" t="s">
        <v>60</v>
      </c>
      <c r="G580" t="s">
        <v>44</v>
      </c>
      <c r="H580" t="s">
        <v>34</v>
      </c>
      <c r="I580" t="s">
        <v>51</v>
      </c>
      <c r="J580">
        <v>4</v>
      </c>
      <c r="K580">
        <v>935</v>
      </c>
      <c r="L580">
        <v>3274.48</v>
      </c>
      <c r="M580">
        <v>25410</v>
      </c>
      <c r="N580" t="s">
        <v>36</v>
      </c>
      <c r="O580" t="s">
        <v>62</v>
      </c>
      <c r="P580" t="s">
        <v>51</v>
      </c>
      <c r="Q580">
        <v>37</v>
      </c>
      <c r="R580">
        <v>127.61</v>
      </c>
    </row>
    <row r="581" spans="1:18" x14ac:dyDescent="0.3">
      <c r="A581" t="s">
        <v>1223</v>
      </c>
      <c r="B581" t="s">
        <v>1224</v>
      </c>
      <c r="C581" t="s">
        <v>97</v>
      </c>
      <c r="D581" t="s">
        <v>42</v>
      </c>
      <c r="E581" s="4">
        <v>41257</v>
      </c>
      <c r="F581" t="s">
        <v>22</v>
      </c>
      <c r="G581" t="s">
        <v>44</v>
      </c>
      <c r="H581" t="s">
        <v>34</v>
      </c>
      <c r="I581" t="s">
        <v>92</v>
      </c>
      <c r="J581">
        <v>2</v>
      </c>
      <c r="K581">
        <v>1135</v>
      </c>
      <c r="L581">
        <v>4643.1499999999996</v>
      </c>
      <c r="M581">
        <v>41243</v>
      </c>
      <c r="N581" t="s">
        <v>36</v>
      </c>
      <c r="O581" t="s">
        <v>37</v>
      </c>
      <c r="P581" t="s">
        <v>51</v>
      </c>
      <c r="Q581">
        <v>35</v>
      </c>
      <c r="R581">
        <v>20.71</v>
      </c>
    </row>
    <row r="582" spans="1:18" x14ac:dyDescent="0.3">
      <c r="A582" t="s">
        <v>1225</v>
      </c>
      <c r="B582" t="s">
        <v>1226</v>
      </c>
      <c r="C582" t="s">
        <v>79</v>
      </c>
      <c r="D582" t="s">
        <v>82</v>
      </c>
      <c r="E582" s="4">
        <v>40944</v>
      </c>
      <c r="F582" t="s">
        <v>69</v>
      </c>
      <c r="G582" t="s">
        <v>44</v>
      </c>
      <c r="H582" t="s">
        <v>75</v>
      </c>
      <c r="I582" t="s">
        <v>34</v>
      </c>
      <c r="J582">
        <v>3</v>
      </c>
      <c r="K582">
        <v>651</v>
      </c>
      <c r="L582">
        <v>3947.96</v>
      </c>
      <c r="M582">
        <v>10224</v>
      </c>
      <c r="N582" t="s">
        <v>26</v>
      </c>
      <c r="O582" t="s">
        <v>62</v>
      </c>
      <c r="P582" t="s">
        <v>28</v>
      </c>
      <c r="Q582">
        <v>25</v>
      </c>
      <c r="R582">
        <v>31.55</v>
      </c>
    </row>
    <row r="583" spans="1:18" x14ac:dyDescent="0.3">
      <c r="A583" t="s">
        <v>1227</v>
      </c>
      <c r="B583" t="s">
        <v>1228</v>
      </c>
      <c r="C583" t="s">
        <v>31</v>
      </c>
      <c r="D583" t="s">
        <v>42</v>
      </c>
      <c r="E583" s="4">
        <v>42358</v>
      </c>
      <c r="F583" t="s">
        <v>60</v>
      </c>
      <c r="G583" t="s">
        <v>23</v>
      </c>
      <c r="H583" t="s">
        <v>24</v>
      </c>
      <c r="I583" t="s">
        <v>35</v>
      </c>
      <c r="J583">
        <v>3</v>
      </c>
      <c r="K583">
        <v>60</v>
      </c>
      <c r="L583">
        <v>2658</v>
      </c>
      <c r="M583">
        <v>12945</v>
      </c>
      <c r="N583" t="s">
        <v>36</v>
      </c>
      <c r="O583" t="s">
        <v>56</v>
      </c>
      <c r="P583" t="s">
        <v>25</v>
      </c>
      <c r="Q583">
        <v>11</v>
      </c>
      <c r="R583">
        <v>37.36</v>
      </c>
    </row>
    <row r="584" spans="1:18" x14ac:dyDescent="0.3">
      <c r="A584" t="s">
        <v>1229</v>
      </c>
      <c r="B584" t="s">
        <v>1230</v>
      </c>
      <c r="C584" t="s">
        <v>116</v>
      </c>
      <c r="D584" t="s">
        <v>59</v>
      </c>
      <c r="E584" s="4">
        <v>44249</v>
      </c>
      <c r="F584" t="s">
        <v>48</v>
      </c>
      <c r="G584" t="s">
        <v>23</v>
      </c>
      <c r="H584" t="s">
        <v>55</v>
      </c>
      <c r="I584" t="s">
        <v>92</v>
      </c>
      <c r="J584">
        <v>7</v>
      </c>
      <c r="K584">
        <v>427</v>
      </c>
      <c r="L584">
        <v>4527.6899999999996</v>
      </c>
      <c r="M584">
        <v>30329</v>
      </c>
      <c r="N584" t="s">
        <v>36</v>
      </c>
      <c r="O584" t="s">
        <v>27</v>
      </c>
      <c r="P584" t="s">
        <v>45</v>
      </c>
      <c r="Q584">
        <v>46</v>
      </c>
      <c r="R584">
        <v>134.31</v>
      </c>
    </row>
    <row r="585" spans="1:18" x14ac:dyDescent="0.3">
      <c r="A585" t="s">
        <v>1231</v>
      </c>
      <c r="B585" t="s">
        <v>1232</v>
      </c>
      <c r="C585" t="s">
        <v>41</v>
      </c>
      <c r="D585" t="s">
        <v>32</v>
      </c>
      <c r="E585" s="4">
        <v>41731</v>
      </c>
      <c r="F585" t="s">
        <v>22</v>
      </c>
      <c r="G585" t="s">
        <v>23</v>
      </c>
      <c r="H585" t="s">
        <v>75</v>
      </c>
      <c r="I585" t="s">
        <v>25</v>
      </c>
      <c r="J585">
        <v>1</v>
      </c>
      <c r="K585">
        <v>107</v>
      </c>
      <c r="L585">
        <v>191.26</v>
      </c>
      <c r="M585">
        <v>26124</v>
      </c>
      <c r="N585" t="s">
        <v>61</v>
      </c>
      <c r="O585" t="s">
        <v>27</v>
      </c>
      <c r="P585" t="s">
        <v>45</v>
      </c>
      <c r="Q585">
        <v>37</v>
      </c>
      <c r="R585">
        <v>37.36</v>
      </c>
    </row>
    <row r="586" spans="1:18" x14ac:dyDescent="0.3">
      <c r="A586" t="s">
        <v>1233</v>
      </c>
      <c r="B586" t="s">
        <v>1234</v>
      </c>
      <c r="C586" t="s">
        <v>31</v>
      </c>
      <c r="D586" t="s">
        <v>32</v>
      </c>
      <c r="E586" s="4">
        <v>45786</v>
      </c>
      <c r="F586" t="s">
        <v>48</v>
      </c>
      <c r="G586" t="s">
        <v>49</v>
      </c>
      <c r="H586" t="s">
        <v>70</v>
      </c>
      <c r="I586" t="s">
        <v>25</v>
      </c>
      <c r="J586">
        <v>6</v>
      </c>
      <c r="K586">
        <v>1117</v>
      </c>
      <c r="L586">
        <v>345.54</v>
      </c>
      <c r="M586">
        <v>22871</v>
      </c>
      <c r="N586" t="s">
        <v>26</v>
      </c>
      <c r="O586" t="s">
        <v>37</v>
      </c>
      <c r="P586" t="s">
        <v>52</v>
      </c>
      <c r="Q586">
        <v>39</v>
      </c>
      <c r="R586">
        <v>107.83</v>
      </c>
    </row>
    <row r="587" spans="1:18" x14ac:dyDescent="0.3">
      <c r="A587" t="s">
        <v>1235</v>
      </c>
      <c r="B587" t="s">
        <v>1236</v>
      </c>
      <c r="C587" t="s">
        <v>97</v>
      </c>
      <c r="D587" t="s">
        <v>82</v>
      </c>
      <c r="E587" s="4">
        <v>43472</v>
      </c>
      <c r="F587" t="s">
        <v>60</v>
      </c>
      <c r="G587" t="s">
        <v>83</v>
      </c>
      <c r="H587" t="s">
        <v>50</v>
      </c>
      <c r="I587" t="s">
        <v>34</v>
      </c>
      <c r="J587">
        <v>1</v>
      </c>
      <c r="K587">
        <v>1069</v>
      </c>
      <c r="L587">
        <v>1971.13</v>
      </c>
      <c r="M587">
        <v>10614</v>
      </c>
      <c r="N587" t="s">
        <v>61</v>
      </c>
      <c r="O587" t="s">
        <v>56</v>
      </c>
      <c r="P587" t="s">
        <v>45</v>
      </c>
      <c r="Q587">
        <v>1</v>
      </c>
      <c r="R587">
        <v>3.72</v>
      </c>
    </row>
    <row r="588" spans="1:18" x14ac:dyDescent="0.3">
      <c r="A588" t="s">
        <v>1237</v>
      </c>
      <c r="B588" t="s">
        <v>1238</v>
      </c>
      <c r="C588" t="s">
        <v>68</v>
      </c>
      <c r="D588" t="s">
        <v>59</v>
      </c>
      <c r="E588" s="4">
        <v>45291</v>
      </c>
      <c r="F588" t="s">
        <v>69</v>
      </c>
      <c r="G588" t="s">
        <v>44</v>
      </c>
      <c r="H588" t="s">
        <v>24</v>
      </c>
      <c r="I588" t="s">
        <v>34</v>
      </c>
      <c r="J588">
        <v>6</v>
      </c>
      <c r="K588">
        <v>925</v>
      </c>
      <c r="L588">
        <v>2776.79</v>
      </c>
      <c r="M588">
        <v>27973</v>
      </c>
      <c r="N588" t="s">
        <v>36</v>
      </c>
      <c r="O588" t="s">
        <v>27</v>
      </c>
      <c r="P588" t="s">
        <v>25</v>
      </c>
      <c r="Q588">
        <v>14</v>
      </c>
      <c r="R588">
        <v>194.47</v>
      </c>
    </row>
    <row r="589" spans="1:18" x14ac:dyDescent="0.3">
      <c r="A589" t="s">
        <v>1239</v>
      </c>
      <c r="B589" t="s">
        <v>1240</v>
      </c>
      <c r="C589" t="s">
        <v>97</v>
      </c>
      <c r="D589" t="s">
        <v>59</v>
      </c>
      <c r="E589" s="4">
        <v>43285</v>
      </c>
      <c r="F589" t="s">
        <v>43</v>
      </c>
      <c r="G589" t="s">
        <v>83</v>
      </c>
      <c r="H589" t="s">
        <v>24</v>
      </c>
      <c r="I589" t="s">
        <v>35</v>
      </c>
      <c r="J589">
        <v>1</v>
      </c>
      <c r="K589">
        <v>433</v>
      </c>
      <c r="L589">
        <v>2263.02</v>
      </c>
      <c r="M589">
        <v>24964</v>
      </c>
      <c r="N589" t="s">
        <v>36</v>
      </c>
      <c r="O589" t="s">
        <v>62</v>
      </c>
      <c r="P589" t="s">
        <v>52</v>
      </c>
      <c r="Q589">
        <v>19</v>
      </c>
      <c r="R589">
        <v>80.77</v>
      </c>
    </row>
    <row r="590" spans="1:18" x14ac:dyDescent="0.3">
      <c r="A590" t="s">
        <v>1241</v>
      </c>
      <c r="B590" t="s">
        <v>1242</v>
      </c>
      <c r="C590" t="s">
        <v>31</v>
      </c>
      <c r="D590" t="s">
        <v>82</v>
      </c>
      <c r="E590" s="4">
        <v>42427</v>
      </c>
      <c r="F590" t="s">
        <v>65</v>
      </c>
      <c r="G590" t="s">
        <v>33</v>
      </c>
      <c r="H590" t="s">
        <v>50</v>
      </c>
      <c r="I590" t="s">
        <v>34</v>
      </c>
      <c r="J590">
        <v>8</v>
      </c>
      <c r="K590">
        <v>248</v>
      </c>
      <c r="L590">
        <v>4821.66</v>
      </c>
      <c r="M590">
        <v>11783</v>
      </c>
      <c r="N590" t="s">
        <v>36</v>
      </c>
      <c r="O590" t="s">
        <v>37</v>
      </c>
      <c r="P590" t="s">
        <v>52</v>
      </c>
      <c r="Q590">
        <v>48</v>
      </c>
      <c r="R590">
        <v>242.83</v>
      </c>
    </row>
    <row r="591" spans="1:18" x14ac:dyDescent="0.3">
      <c r="A591" t="s">
        <v>1243</v>
      </c>
      <c r="B591" t="s">
        <v>1244</v>
      </c>
      <c r="C591" t="s">
        <v>41</v>
      </c>
      <c r="D591" t="s">
        <v>59</v>
      </c>
      <c r="E591" s="4">
        <v>42373</v>
      </c>
      <c r="F591" t="s">
        <v>69</v>
      </c>
      <c r="G591" t="s">
        <v>83</v>
      </c>
      <c r="H591" t="s">
        <v>24</v>
      </c>
      <c r="I591" t="s">
        <v>25</v>
      </c>
      <c r="J591">
        <v>2</v>
      </c>
      <c r="K591">
        <v>810</v>
      </c>
      <c r="L591">
        <v>1720.67</v>
      </c>
      <c r="M591">
        <v>39652</v>
      </c>
      <c r="N591" t="s">
        <v>61</v>
      </c>
      <c r="O591" t="s">
        <v>27</v>
      </c>
      <c r="P591" t="s">
        <v>28</v>
      </c>
      <c r="Q591">
        <v>1</v>
      </c>
      <c r="R591">
        <v>237.4</v>
      </c>
    </row>
    <row r="592" spans="1:18" x14ac:dyDescent="0.3">
      <c r="A592" t="s">
        <v>1245</v>
      </c>
      <c r="B592" t="s">
        <v>1246</v>
      </c>
      <c r="C592" t="s">
        <v>79</v>
      </c>
      <c r="D592" t="s">
        <v>82</v>
      </c>
      <c r="E592" s="4">
        <v>43680</v>
      </c>
      <c r="F592" t="s">
        <v>60</v>
      </c>
      <c r="G592" t="s">
        <v>23</v>
      </c>
      <c r="H592" t="s">
        <v>75</v>
      </c>
      <c r="I592" t="s">
        <v>51</v>
      </c>
      <c r="J592">
        <v>0</v>
      </c>
      <c r="K592">
        <v>548</v>
      </c>
      <c r="L592">
        <v>3982.65</v>
      </c>
      <c r="M592">
        <v>40870</v>
      </c>
      <c r="N592" t="s">
        <v>36</v>
      </c>
      <c r="O592" t="s">
        <v>37</v>
      </c>
      <c r="P592" t="s">
        <v>38</v>
      </c>
      <c r="Q592">
        <v>30</v>
      </c>
      <c r="R592">
        <v>16.53</v>
      </c>
    </row>
    <row r="593" spans="1:18" x14ac:dyDescent="0.3">
      <c r="A593" t="s">
        <v>1247</v>
      </c>
      <c r="B593" t="s">
        <v>1248</v>
      </c>
      <c r="C593" t="s">
        <v>31</v>
      </c>
      <c r="D593" t="s">
        <v>109</v>
      </c>
      <c r="E593" s="4">
        <v>44444</v>
      </c>
      <c r="F593" t="s">
        <v>48</v>
      </c>
      <c r="G593" t="s">
        <v>102</v>
      </c>
      <c r="H593" t="s">
        <v>50</v>
      </c>
      <c r="I593" t="s">
        <v>25</v>
      </c>
      <c r="J593">
        <v>7</v>
      </c>
      <c r="K593">
        <v>838</v>
      </c>
      <c r="L593">
        <v>4508.95</v>
      </c>
      <c r="M593">
        <v>47271</v>
      </c>
      <c r="N593" t="s">
        <v>36</v>
      </c>
      <c r="O593" t="s">
        <v>62</v>
      </c>
      <c r="P593" t="s">
        <v>45</v>
      </c>
      <c r="Q593">
        <v>35</v>
      </c>
      <c r="R593">
        <v>135.22999999999999</v>
      </c>
    </row>
    <row r="594" spans="1:18" x14ac:dyDescent="0.3">
      <c r="A594" t="s">
        <v>1249</v>
      </c>
      <c r="B594" t="s">
        <v>1250</v>
      </c>
      <c r="C594" t="s">
        <v>97</v>
      </c>
      <c r="D594" t="s">
        <v>21</v>
      </c>
      <c r="E594" s="4">
        <v>43306</v>
      </c>
      <c r="F594" t="s">
        <v>65</v>
      </c>
      <c r="G594" t="s">
        <v>102</v>
      </c>
      <c r="H594" t="s">
        <v>50</v>
      </c>
      <c r="I594" t="s">
        <v>51</v>
      </c>
      <c r="J594">
        <v>6</v>
      </c>
      <c r="K594">
        <v>1345</v>
      </c>
      <c r="L594">
        <v>1045.93</v>
      </c>
      <c r="M594">
        <v>34484</v>
      </c>
      <c r="N594" t="s">
        <v>26</v>
      </c>
      <c r="O594" t="s">
        <v>37</v>
      </c>
      <c r="P594" t="s">
        <v>45</v>
      </c>
      <c r="Q594">
        <v>19</v>
      </c>
      <c r="R594">
        <v>35.94</v>
      </c>
    </row>
    <row r="595" spans="1:18" x14ac:dyDescent="0.3">
      <c r="A595" t="s">
        <v>1251</v>
      </c>
      <c r="B595" t="s">
        <v>1252</v>
      </c>
      <c r="C595" t="s">
        <v>41</v>
      </c>
      <c r="D595" t="s">
        <v>82</v>
      </c>
      <c r="E595" s="4">
        <v>41736</v>
      </c>
      <c r="F595" t="s">
        <v>65</v>
      </c>
      <c r="G595" t="s">
        <v>49</v>
      </c>
      <c r="H595" t="s">
        <v>50</v>
      </c>
      <c r="I595" t="s">
        <v>34</v>
      </c>
      <c r="J595">
        <v>7</v>
      </c>
      <c r="K595">
        <v>493</v>
      </c>
      <c r="L595">
        <v>2591.34</v>
      </c>
      <c r="M595">
        <v>39491</v>
      </c>
      <c r="N595" t="s">
        <v>26</v>
      </c>
      <c r="O595" t="s">
        <v>27</v>
      </c>
      <c r="P595" t="s">
        <v>51</v>
      </c>
      <c r="Q595">
        <v>15</v>
      </c>
      <c r="R595">
        <v>43.22</v>
      </c>
    </row>
    <row r="596" spans="1:18" x14ac:dyDescent="0.3">
      <c r="A596" t="s">
        <v>1253</v>
      </c>
      <c r="B596" t="s">
        <v>1254</v>
      </c>
      <c r="C596" t="s">
        <v>20</v>
      </c>
      <c r="D596" t="s">
        <v>42</v>
      </c>
      <c r="E596" s="4">
        <v>41525</v>
      </c>
      <c r="F596" t="s">
        <v>60</v>
      </c>
      <c r="G596" t="s">
        <v>23</v>
      </c>
      <c r="H596" t="s">
        <v>70</v>
      </c>
      <c r="I596" t="s">
        <v>35</v>
      </c>
      <c r="J596">
        <v>2</v>
      </c>
      <c r="K596">
        <v>655</v>
      </c>
      <c r="L596">
        <v>409.98</v>
      </c>
      <c r="M596">
        <v>48837</v>
      </c>
      <c r="N596" t="s">
        <v>36</v>
      </c>
      <c r="O596" t="s">
        <v>56</v>
      </c>
      <c r="P596" t="s">
        <v>25</v>
      </c>
      <c r="Q596">
        <v>45</v>
      </c>
      <c r="R596">
        <v>180.46</v>
      </c>
    </row>
    <row r="597" spans="1:18" x14ac:dyDescent="0.3">
      <c r="A597" t="s">
        <v>1255</v>
      </c>
      <c r="B597" t="s">
        <v>1256</v>
      </c>
      <c r="C597" t="s">
        <v>20</v>
      </c>
      <c r="D597" t="s">
        <v>82</v>
      </c>
      <c r="E597" s="4">
        <v>43195</v>
      </c>
      <c r="F597" t="s">
        <v>60</v>
      </c>
      <c r="G597" t="s">
        <v>44</v>
      </c>
      <c r="H597" t="s">
        <v>50</v>
      </c>
      <c r="I597" t="s">
        <v>34</v>
      </c>
      <c r="J597">
        <v>6</v>
      </c>
      <c r="K597">
        <v>1182</v>
      </c>
      <c r="L597">
        <v>2890.64</v>
      </c>
      <c r="M597">
        <v>47588</v>
      </c>
      <c r="N597" t="s">
        <v>26</v>
      </c>
      <c r="O597" t="s">
        <v>56</v>
      </c>
      <c r="P597" t="s">
        <v>45</v>
      </c>
      <c r="Q597">
        <v>18</v>
      </c>
      <c r="R597">
        <v>64.709999999999994</v>
      </c>
    </row>
    <row r="598" spans="1:18" x14ac:dyDescent="0.3">
      <c r="A598" t="s">
        <v>1257</v>
      </c>
      <c r="B598" t="s">
        <v>1258</v>
      </c>
      <c r="C598" t="s">
        <v>116</v>
      </c>
      <c r="D598" t="s">
        <v>32</v>
      </c>
      <c r="E598" s="4">
        <v>43295</v>
      </c>
      <c r="F598" t="s">
        <v>48</v>
      </c>
      <c r="G598" t="s">
        <v>102</v>
      </c>
      <c r="H598" t="s">
        <v>75</v>
      </c>
      <c r="I598" t="s">
        <v>34</v>
      </c>
      <c r="J598">
        <v>0</v>
      </c>
      <c r="K598">
        <v>508</v>
      </c>
      <c r="L598">
        <v>1590.17</v>
      </c>
      <c r="M598">
        <v>48154</v>
      </c>
      <c r="N598" t="s">
        <v>36</v>
      </c>
      <c r="O598" t="s">
        <v>27</v>
      </c>
      <c r="P598" t="s">
        <v>52</v>
      </c>
      <c r="Q598">
        <v>41</v>
      </c>
      <c r="R598">
        <v>190.62</v>
      </c>
    </row>
    <row r="599" spans="1:18" x14ac:dyDescent="0.3">
      <c r="A599" t="s">
        <v>1259</v>
      </c>
      <c r="B599" t="s">
        <v>1260</v>
      </c>
      <c r="C599" t="s">
        <v>97</v>
      </c>
      <c r="D599" t="s">
        <v>59</v>
      </c>
      <c r="E599" s="4">
        <v>45528</v>
      </c>
      <c r="F599" t="s">
        <v>60</v>
      </c>
      <c r="G599" t="s">
        <v>102</v>
      </c>
      <c r="H599" t="s">
        <v>34</v>
      </c>
      <c r="I599" t="s">
        <v>34</v>
      </c>
      <c r="J599">
        <v>7</v>
      </c>
      <c r="K599">
        <v>244</v>
      </c>
      <c r="L599">
        <v>4224.78</v>
      </c>
      <c r="M599">
        <v>42717</v>
      </c>
      <c r="N599" t="s">
        <v>36</v>
      </c>
      <c r="O599" t="s">
        <v>56</v>
      </c>
      <c r="P599" t="s">
        <v>52</v>
      </c>
      <c r="Q599">
        <v>13</v>
      </c>
      <c r="R599">
        <v>157.12</v>
      </c>
    </row>
    <row r="600" spans="1:18" x14ac:dyDescent="0.3">
      <c r="A600" t="s">
        <v>1261</v>
      </c>
      <c r="B600" t="s">
        <v>1262</v>
      </c>
      <c r="C600" t="s">
        <v>79</v>
      </c>
      <c r="D600" t="s">
        <v>82</v>
      </c>
      <c r="E600" s="4">
        <v>45717</v>
      </c>
      <c r="F600" t="s">
        <v>60</v>
      </c>
      <c r="G600" t="s">
        <v>102</v>
      </c>
      <c r="H600" t="s">
        <v>34</v>
      </c>
      <c r="I600" t="s">
        <v>25</v>
      </c>
      <c r="J600">
        <v>6</v>
      </c>
      <c r="K600">
        <v>482</v>
      </c>
      <c r="L600">
        <v>1699.44</v>
      </c>
      <c r="M600">
        <v>29043</v>
      </c>
      <c r="N600" t="s">
        <v>26</v>
      </c>
      <c r="O600" t="s">
        <v>56</v>
      </c>
      <c r="P600" t="s">
        <v>25</v>
      </c>
      <c r="Q600">
        <v>12</v>
      </c>
      <c r="R600">
        <v>115.04</v>
      </c>
    </row>
    <row r="601" spans="1:18" x14ac:dyDescent="0.3">
      <c r="A601" t="s">
        <v>1263</v>
      </c>
      <c r="B601" t="s">
        <v>1264</v>
      </c>
      <c r="C601" t="s">
        <v>31</v>
      </c>
      <c r="D601" t="s">
        <v>109</v>
      </c>
      <c r="E601" s="4">
        <v>45490</v>
      </c>
      <c r="F601" t="s">
        <v>60</v>
      </c>
      <c r="G601" t="s">
        <v>23</v>
      </c>
      <c r="H601" t="s">
        <v>24</v>
      </c>
      <c r="I601" t="s">
        <v>92</v>
      </c>
      <c r="J601">
        <v>5</v>
      </c>
      <c r="K601">
        <v>1317</v>
      </c>
      <c r="L601">
        <v>968.67</v>
      </c>
      <c r="M601">
        <v>21716</v>
      </c>
      <c r="N601" t="s">
        <v>61</v>
      </c>
      <c r="O601" t="s">
        <v>27</v>
      </c>
      <c r="P601" t="s">
        <v>45</v>
      </c>
      <c r="Q601">
        <v>21</v>
      </c>
      <c r="R601">
        <v>2.57</v>
      </c>
    </row>
    <row r="602" spans="1:18" x14ac:dyDescent="0.3">
      <c r="A602" t="s">
        <v>1265</v>
      </c>
      <c r="B602" t="s">
        <v>1266</v>
      </c>
      <c r="C602" t="s">
        <v>41</v>
      </c>
      <c r="D602" t="s">
        <v>42</v>
      </c>
      <c r="E602" s="4">
        <v>43594</v>
      </c>
      <c r="F602" t="s">
        <v>22</v>
      </c>
      <c r="G602" t="s">
        <v>102</v>
      </c>
      <c r="H602" t="s">
        <v>55</v>
      </c>
      <c r="I602" t="s">
        <v>35</v>
      </c>
      <c r="J602">
        <v>5</v>
      </c>
      <c r="K602">
        <v>860</v>
      </c>
      <c r="L602">
        <v>3312.56</v>
      </c>
      <c r="M602">
        <v>6140</v>
      </c>
      <c r="N602" t="s">
        <v>36</v>
      </c>
      <c r="O602" t="s">
        <v>56</v>
      </c>
      <c r="P602" t="s">
        <v>45</v>
      </c>
      <c r="Q602">
        <v>50</v>
      </c>
      <c r="R602">
        <v>78.03</v>
      </c>
    </row>
    <row r="603" spans="1:18" x14ac:dyDescent="0.3">
      <c r="A603" t="s">
        <v>1267</v>
      </c>
      <c r="B603" t="s">
        <v>1268</v>
      </c>
      <c r="C603" t="s">
        <v>68</v>
      </c>
      <c r="D603" t="s">
        <v>82</v>
      </c>
      <c r="E603" s="4">
        <v>41808</v>
      </c>
      <c r="F603" t="s">
        <v>48</v>
      </c>
      <c r="G603" t="s">
        <v>23</v>
      </c>
      <c r="H603" t="s">
        <v>55</v>
      </c>
      <c r="I603" t="s">
        <v>76</v>
      </c>
      <c r="J603">
        <v>7</v>
      </c>
      <c r="K603">
        <v>271</v>
      </c>
      <c r="L603">
        <v>1602.36</v>
      </c>
      <c r="M603">
        <v>17135</v>
      </c>
      <c r="N603" t="s">
        <v>36</v>
      </c>
      <c r="O603" t="s">
        <v>27</v>
      </c>
      <c r="P603" t="s">
        <v>51</v>
      </c>
      <c r="Q603">
        <v>49</v>
      </c>
      <c r="R603">
        <v>190.8</v>
      </c>
    </row>
    <row r="604" spans="1:18" x14ac:dyDescent="0.3">
      <c r="A604" t="s">
        <v>1269</v>
      </c>
      <c r="B604" t="s">
        <v>1270</v>
      </c>
      <c r="C604" t="s">
        <v>97</v>
      </c>
      <c r="D604" t="s">
        <v>21</v>
      </c>
      <c r="E604" s="4">
        <v>43271</v>
      </c>
      <c r="F604" t="s">
        <v>22</v>
      </c>
      <c r="G604" t="s">
        <v>23</v>
      </c>
      <c r="H604" t="s">
        <v>50</v>
      </c>
      <c r="I604" t="s">
        <v>76</v>
      </c>
      <c r="J604">
        <v>0</v>
      </c>
      <c r="K604">
        <v>1206</v>
      </c>
      <c r="L604">
        <v>3889.36</v>
      </c>
      <c r="M604">
        <v>15959</v>
      </c>
      <c r="N604" t="s">
        <v>61</v>
      </c>
      <c r="O604" t="s">
        <v>62</v>
      </c>
      <c r="P604" t="s">
        <v>52</v>
      </c>
      <c r="Q604">
        <v>20</v>
      </c>
      <c r="R604">
        <v>76.37</v>
      </c>
    </row>
    <row r="605" spans="1:18" x14ac:dyDescent="0.3">
      <c r="A605" t="s">
        <v>1271</v>
      </c>
      <c r="B605" t="s">
        <v>1272</v>
      </c>
      <c r="C605" t="s">
        <v>68</v>
      </c>
      <c r="D605" t="s">
        <v>21</v>
      </c>
      <c r="E605" s="4">
        <v>44787</v>
      </c>
      <c r="F605" t="s">
        <v>43</v>
      </c>
      <c r="G605" t="s">
        <v>102</v>
      </c>
      <c r="H605" t="s">
        <v>24</v>
      </c>
      <c r="I605" t="s">
        <v>34</v>
      </c>
      <c r="J605">
        <v>7</v>
      </c>
      <c r="K605">
        <v>393</v>
      </c>
      <c r="L605">
        <v>1499.2</v>
      </c>
      <c r="M605">
        <v>36473</v>
      </c>
      <c r="N605" t="s">
        <v>61</v>
      </c>
      <c r="O605" t="s">
        <v>62</v>
      </c>
      <c r="P605" t="s">
        <v>51</v>
      </c>
      <c r="Q605">
        <v>44</v>
      </c>
      <c r="R605">
        <v>52.44</v>
      </c>
    </row>
    <row r="606" spans="1:18" x14ac:dyDescent="0.3">
      <c r="A606" t="s">
        <v>1273</v>
      </c>
      <c r="B606" t="s">
        <v>1274</v>
      </c>
      <c r="C606" t="s">
        <v>116</v>
      </c>
      <c r="D606" t="s">
        <v>21</v>
      </c>
      <c r="E606" s="4">
        <v>41771</v>
      </c>
      <c r="F606" t="s">
        <v>69</v>
      </c>
      <c r="G606" t="s">
        <v>44</v>
      </c>
      <c r="H606" t="s">
        <v>55</v>
      </c>
      <c r="I606" t="s">
        <v>51</v>
      </c>
      <c r="J606">
        <v>1</v>
      </c>
      <c r="K606">
        <v>127</v>
      </c>
      <c r="L606">
        <v>354.8</v>
      </c>
      <c r="M606">
        <v>17928</v>
      </c>
      <c r="N606" t="s">
        <v>61</v>
      </c>
      <c r="O606" t="s">
        <v>27</v>
      </c>
      <c r="P606" t="s">
        <v>51</v>
      </c>
      <c r="Q606">
        <v>4</v>
      </c>
      <c r="R606">
        <v>216.55</v>
      </c>
    </row>
    <row r="607" spans="1:18" x14ac:dyDescent="0.3">
      <c r="A607" t="s">
        <v>1275</v>
      </c>
      <c r="B607" t="s">
        <v>1276</v>
      </c>
      <c r="C607" t="s">
        <v>41</v>
      </c>
      <c r="D607" t="s">
        <v>21</v>
      </c>
      <c r="E607" s="4">
        <v>41127</v>
      </c>
      <c r="F607" t="s">
        <v>22</v>
      </c>
      <c r="G607" t="s">
        <v>44</v>
      </c>
      <c r="H607" t="s">
        <v>50</v>
      </c>
      <c r="I607" t="s">
        <v>92</v>
      </c>
      <c r="J607">
        <v>4</v>
      </c>
      <c r="K607">
        <v>1435</v>
      </c>
      <c r="L607">
        <v>363.63</v>
      </c>
      <c r="M607">
        <v>33749</v>
      </c>
      <c r="N607" t="s">
        <v>61</v>
      </c>
      <c r="O607" t="s">
        <v>27</v>
      </c>
      <c r="P607" t="s">
        <v>38</v>
      </c>
      <c r="Q607">
        <v>11</v>
      </c>
      <c r="R607">
        <v>71.47</v>
      </c>
    </row>
    <row r="608" spans="1:18" x14ac:dyDescent="0.3">
      <c r="A608" t="s">
        <v>1277</v>
      </c>
      <c r="B608" t="s">
        <v>1278</v>
      </c>
      <c r="C608" t="s">
        <v>68</v>
      </c>
      <c r="D608" t="s">
        <v>21</v>
      </c>
      <c r="E608" s="4">
        <v>41101</v>
      </c>
      <c r="F608" t="s">
        <v>69</v>
      </c>
      <c r="G608" t="s">
        <v>23</v>
      </c>
      <c r="H608" t="s">
        <v>55</v>
      </c>
      <c r="I608" t="s">
        <v>35</v>
      </c>
      <c r="J608">
        <v>3</v>
      </c>
      <c r="K608">
        <v>941</v>
      </c>
      <c r="L608">
        <v>1948.99</v>
      </c>
      <c r="M608">
        <v>33878</v>
      </c>
      <c r="N608" t="s">
        <v>26</v>
      </c>
      <c r="O608" t="s">
        <v>62</v>
      </c>
      <c r="P608" t="s">
        <v>38</v>
      </c>
      <c r="Q608">
        <v>15</v>
      </c>
      <c r="R608">
        <v>30.76</v>
      </c>
    </row>
    <row r="609" spans="1:18" x14ac:dyDescent="0.3">
      <c r="A609" t="s">
        <v>1279</v>
      </c>
      <c r="B609" t="s">
        <v>1280</v>
      </c>
      <c r="C609" t="s">
        <v>41</v>
      </c>
      <c r="D609" t="s">
        <v>32</v>
      </c>
      <c r="E609" s="4">
        <v>45937</v>
      </c>
      <c r="F609" t="s">
        <v>65</v>
      </c>
      <c r="G609" t="s">
        <v>83</v>
      </c>
      <c r="H609" t="s">
        <v>50</v>
      </c>
      <c r="I609" t="s">
        <v>51</v>
      </c>
      <c r="J609">
        <v>3</v>
      </c>
      <c r="K609">
        <v>142</v>
      </c>
      <c r="L609">
        <v>1421.03</v>
      </c>
      <c r="M609">
        <v>1574</v>
      </c>
      <c r="N609" t="s">
        <v>61</v>
      </c>
      <c r="O609" t="s">
        <v>62</v>
      </c>
      <c r="P609" t="s">
        <v>28</v>
      </c>
      <c r="Q609">
        <v>34</v>
      </c>
      <c r="R609">
        <v>190.2</v>
      </c>
    </row>
    <row r="610" spans="1:18" x14ac:dyDescent="0.3">
      <c r="A610" t="s">
        <v>1281</v>
      </c>
      <c r="B610" t="s">
        <v>1282</v>
      </c>
      <c r="C610" t="s">
        <v>68</v>
      </c>
      <c r="D610" t="s">
        <v>59</v>
      </c>
      <c r="E610" s="4">
        <v>44672</v>
      </c>
      <c r="F610" t="s">
        <v>69</v>
      </c>
      <c r="G610" t="s">
        <v>33</v>
      </c>
      <c r="H610" t="s">
        <v>75</v>
      </c>
      <c r="I610" t="s">
        <v>92</v>
      </c>
      <c r="J610">
        <v>4</v>
      </c>
      <c r="K610">
        <v>1091</v>
      </c>
      <c r="L610">
        <v>1599.32</v>
      </c>
      <c r="M610">
        <v>47648</v>
      </c>
      <c r="N610" t="s">
        <v>36</v>
      </c>
      <c r="O610" t="s">
        <v>27</v>
      </c>
      <c r="P610" t="s">
        <v>28</v>
      </c>
      <c r="Q610">
        <v>28</v>
      </c>
      <c r="R610">
        <v>71.739999999999995</v>
      </c>
    </row>
    <row r="611" spans="1:18" x14ac:dyDescent="0.3">
      <c r="A611" t="s">
        <v>1283</v>
      </c>
      <c r="B611" t="s">
        <v>1284</v>
      </c>
      <c r="C611" t="s">
        <v>31</v>
      </c>
      <c r="D611" t="s">
        <v>32</v>
      </c>
      <c r="E611" s="4">
        <v>40506</v>
      </c>
      <c r="F611" t="s">
        <v>43</v>
      </c>
      <c r="G611" t="s">
        <v>83</v>
      </c>
      <c r="H611" t="s">
        <v>34</v>
      </c>
      <c r="I611" t="s">
        <v>76</v>
      </c>
      <c r="J611">
        <v>1</v>
      </c>
      <c r="K611">
        <v>136</v>
      </c>
      <c r="L611">
        <v>544.59</v>
      </c>
      <c r="M611">
        <v>6791</v>
      </c>
      <c r="N611" t="s">
        <v>36</v>
      </c>
      <c r="O611" t="s">
        <v>56</v>
      </c>
      <c r="P611" t="s">
        <v>52</v>
      </c>
      <c r="Q611">
        <v>32</v>
      </c>
      <c r="R611">
        <v>96.14</v>
      </c>
    </row>
    <row r="612" spans="1:18" x14ac:dyDescent="0.3">
      <c r="A612" t="s">
        <v>1285</v>
      </c>
      <c r="B612" t="s">
        <v>1286</v>
      </c>
      <c r="C612" t="s">
        <v>20</v>
      </c>
      <c r="D612" t="s">
        <v>109</v>
      </c>
      <c r="E612" s="4">
        <v>45072</v>
      </c>
      <c r="F612" t="s">
        <v>43</v>
      </c>
      <c r="G612" t="s">
        <v>23</v>
      </c>
      <c r="H612" t="s">
        <v>70</v>
      </c>
      <c r="I612" t="s">
        <v>34</v>
      </c>
      <c r="J612">
        <v>8</v>
      </c>
      <c r="K612">
        <v>1308</v>
      </c>
      <c r="L612">
        <v>2121.9499999999998</v>
      </c>
      <c r="M612">
        <v>42742</v>
      </c>
      <c r="N612" t="s">
        <v>61</v>
      </c>
      <c r="O612" t="s">
        <v>56</v>
      </c>
      <c r="P612" t="s">
        <v>28</v>
      </c>
      <c r="Q612">
        <v>18</v>
      </c>
      <c r="R612">
        <v>110.08</v>
      </c>
    </row>
    <row r="613" spans="1:18" x14ac:dyDescent="0.3">
      <c r="A613" t="s">
        <v>1287</v>
      </c>
      <c r="B613" t="s">
        <v>1288</v>
      </c>
      <c r="C613" t="s">
        <v>41</v>
      </c>
      <c r="D613" t="s">
        <v>21</v>
      </c>
      <c r="E613" s="4">
        <v>45161</v>
      </c>
      <c r="F613" t="s">
        <v>48</v>
      </c>
      <c r="G613" t="s">
        <v>23</v>
      </c>
      <c r="H613" t="s">
        <v>50</v>
      </c>
      <c r="I613" t="s">
        <v>76</v>
      </c>
      <c r="J613">
        <v>5</v>
      </c>
      <c r="K613">
        <v>1496</v>
      </c>
      <c r="L613">
        <v>1749.23</v>
      </c>
      <c r="M613">
        <v>47519</v>
      </c>
      <c r="N613" t="s">
        <v>36</v>
      </c>
      <c r="O613" t="s">
        <v>37</v>
      </c>
      <c r="P613" t="s">
        <v>38</v>
      </c>
      <c r="Q613">
        <v>20</v>
      </c>
      <c r="R613">
        <v>195.42</v>
      </c>
    </row>
    <row r="614" spans="1:18" x14ac:dyDescent="0.3">
      <c r="A614" t="s">
        <v>1289</v>
      </c>
      <c r="B614" t="s">
        <v>1290</v>
      </c>
      <c r="C614" t="s">
        <v>20</v>
      </c>
      <c r="D614" t="s">
        <v>59</v>
      </c>
      <c r="E614" s="4">
        <v>45903</v>
      </c>
      <c r="F614" t="s">
        <v>22</v>
      </c>
      <c r="G614" t="s">
        <v>33</v>
      </c>
      <c r="H614" t="s">
        <v>55</v>
      </c>
      <c r="I614" t="s">
        <v>92</v>
      </c>
      <c r="J614">
        <v>7</v>
      </c>
      <c r="K614">
        <v>649</v>
      </c>
      <c r="L614">
        <v>1430.1</v>
      </c>
      <c r="M614">
        <v>39487</v>
      </c>
      <c r="N614" t="s">
        <v>61</v>
      </c>
      <c r="O614" t="s">
        <v>27</v>
      </c>
      <c r="P614" t="s">
        <v>51</v>
      </c>
      <c r="Q614">
        <v>29</v>
      </c>
      <c r="R614">
        <v>3.71</v>
      </c>
    </row>
    <row r="615" spans="1:18" x14ac:dyDescent="0.3">
      <c r="A615" t="s">
        <v>1291</v>
      </c>
      <c r="B615" t="s">
        <v>1292</v>
      </c>
      <c r="C615" t="s">
        <v>31</v>
      </c>
      <c r="D615" t="s">
        <v>59</v>
      </c>
      <c r="E615" s="4">
        <v>44560</v>
      </c>
      <c r="F615" t="s">
        <v>48</v>
      </c>
      <c r="G615" t="s">
        <v>102</v>
      </c>
      <c r="H615" t="s">
        <v>70</v>
      </c>
      <c r="I615" t="s">
        <v>35</v>
      </c>
      <c r="J615">
        <v>7</v>
      </c>
      <c r="K615">
        <v>685</v>
      </c>
      <c r="L615">
        <v>2868.54</v>
      </c>
      <c r="M615">
        <v>19192</v>
      </c>
      <c r="N615" t="s">
        <v>36</v>
      </c>
      <c r="O615" t="s">
        <v>56</v>
      </c>
      <c r="P615" t="s">
        <v>25</v>
      </c>
      <c r="Q615">
        <v>50</v>
      </c>
      <c r="R615">
        <v>96.56</v>
      </c>
    </row>
    <row r="616" spans="1:18" x14ac:dyDescent="0.3">
      <c r="A616" t="s">
        <v>1293</v>
      </c>
      <c r="B616" t="s">
        <v>1294</v>
      </c>
      <c r="C616" t="s">
        <v>31</v>
      </c>
      <c r="D616" t="s">
        <v>59</v>
      </c>
      <c r="E616" s="4">
        <v>43408</v>
      </c>
      <c r="F616" t="s">
        <v>69</v>
      </c>
      <c r="G616" t="s">
        <v>44</v>
      </c>
      <c r="H616" t="s">
        <v>75</v>
      </c>
      <c r="I616" t="s">
        <v>34</v>
      </c>
      <c r="J616">
        <v>1</v>
      </c>
      <c r="K616">
        <v>818</v>
      </c>
      <c r="L616">
        <v>1290.3499999999999</v>
      </c>
      <c r="M616">
        <v>42005</v>
      </c>
      <c r="N616" t="s">
        <v>26</v>
      </c>
      <c r="O616" t="s">
        <v>62</v>
      </c>
      <c r="P616" t="s">
        <v>28</v>
      </c>
      <c r="Q616">
        <v>12</v>
      </c>
      <c r="R616">
        <v>193.65</v>
      </c>
    </row>
    <row r="617" spans="1:18" x14ac:dyDescent="0.3">
      <c r="A617" t="s">
        <v>1295</v>
      </c>
      <c r="B617" t="s">
        <v>1296</v>
      </c>
      <c r="C617" t="s">
        <v>97</v>
      </c>
      <c r="D617" t="s">
        <v>21</v>
      </c>
      <c r="E617" s="4">
        <v>46009</v>
      </c>
      <c r="F617" t="s">
        <v>48</v>
      </c>
      <c r="G617" t="s">
        <v>23</v>
      </c>
      <c r="H617" t="s">
        <v>55</v>
      </c>
      <c r="I617" t="s">
        <v>35</v>
      </c>
      <c r="J617">
        <v>8</v>
      </c>
      <c r="K617">
        <v>1178</v>
      </c>
      <c r="L617">
        <v>1780.88</v>
      </c>
      <c r="M617">
        <v>34043</v>
      </c>
      <c r="N617" t="s">
        <v>36</v>
      </c>
      <c r="O617" t="s">
        <v>56</v>
      </c>
      <c r="P617" t="s">
        <v>38</v>
      </c>
      <c r="Q617">
        <v>38</v>
      </c>
      <c r="R617">
        <v>197.01</v>
      </c>
    </row>
    <row r="618" spans="1:18" x14ac:dyDescent="0.3">
      <c r="A618" t="s">
        <v>1297</v>
      </c>
      <c r="B618" t="s">
        <v>1298</v>
      </c>
      <c r="C618" t="s">
        <v>68</v>
      </c>
      <c r="D618" t="s">
        <v>82</v>
      </c>
      <c r="E618" s="4">
        <v>45028</v>
      </c>
      <c r="F618" t="s">
        <v>60</v>
      </c>
      <c r="G618" t="s">
        <v>23</v>
      </c>
      <c r="H618" t="s">
        <v>34</v>
      </c>
      <c r="I618" t="s">
        <v>51</v>
      </c>
      <c r="J618">
        <v>1</v>
      </c>
      <c r="K618">
        <v>1379</v>
      </c>
      <c r="L618">
        <v>4181.1000000000004</v>
      </c>
      <c r="M618">
        <v>9139</v>
      </c>
      <c r="N618" t="s">
        <v>61</v>
      </c>
      <c r="O618" t="s">
        <v>56</v>
      </c>
      <c r="P618" t="s">
        <v>51</v>
      </c>
      <c r="Q618">
        <v>7</v>
      </c>
      <c r="R618">
        <v>223.61</v>
      </c>
    </row>
    <row r="619" spans="1:18" x14ac:dyDescent="0.3">
      <c r="A619" t="s">
        <v>1299</v>
      </c>
      <c r="B619" t="s">
        <v>1300</v>
      </c>
      <c r="C619" t="s">
        <v>20</v>
      </c>
      <c r="D619" t="s">
        <v>42</v>
      </c>
      <c r="E619" s="4">
        <v>42061</v>
      </c>
      <c r="F619" t="s">
        <v>48</v>
      </c>
      <c r="G619" t="s">
        <v>83</v>
      </c>
      <c r="H619" t="s">
        <v>70</v>
      </c>
      <c r="I619" t="s">
        <v>35</v>
      </c>
      <c r="J619">
        <v>3</v>
      </c>
      <c r="K619">
        <v>546</v>
      </c>
      <c r="L619">
        <v>2182.67</v>
      </c>
      <c r="M619">
        <v>14097</v>
      </c>
      <c r="N619" t="s">
        <v>26</v>
      </c>
      <c r="O619" t="s">
        <v>56</v>
      </c>
      <c r="P619" t="s">
        <v>25</v>
      </c>
      <c r="Q619">
        <v>41</v>
      </c>
      <c r="R619">
        <v>73.27</v>
      </c>
    </row>
    <row r="620" spans="1:18" x14ac:dyDescent="0.3">
      <c r="A620" t="s">
        <v>1301</v>
      </c>
      <c r="B620" t="s">
        <v>1302</v>
      </c>
      <c r="C620" t="s">
        <v>79</v>
      </c>
      <c r="D620" t="s">
        <v>21</v>
      </c>
      <c r="E620" s="4">
        <v>45970</v>
      </c>
      <c r="F620" t="s">
        <v>65</v>
      </c>
      <c r="G620" t="s">
        <v>23</v>
      </c>
      <c r="H620" t="s">
        <v>24</v>
      </c>
      <c r="I620" t="s">
        <v>25</v>
      </c>
      <c r="J620">
        <v>5</v>
      </c>
      <c r="K620">
        <v>196</v>
      </c>
      <c r="L620">
        <v>2203.34</v>
      </c>
      <c r="M620">
        <v>27130</v>
      </c>
      <c r="N620" t="s">
        <v>36</v>
      </c>
      <c r="O620" t="s">
        <v>37</v>
      </c>
      <c r="P620" t="s">
        <v>51</v>
      </c>
      <c r="Q620">
        <v>28</v>
      </c>
      <c r="R620">
        <v>87.09</v>
      </c>
    </row>
    <row r="621" spans="1:18" x14ac:dyDescent="0.3">
      <c r="A621" t="s">
        <v>1303</v>
      </c>
      <c r="B621" t="s">
        <v>1304</v>
      </c>
      <c r="C621" t="s">
        <v>68</v>
      </c>
      <c r="D621" t="s">
        <v>21</v>
      </c>
      <c r="E621" s="4">
        <v>45999</v>
      </c>
      <c r="F621" t="s">
        <v>48</v>
      </c>
      <c r="G621" t="s">
        <v>102</v>
      </c>
      <c r="H621" t="s">
        <v>50</v>
      </c>
      <c r="I621" t="s">
        <v>25</v>
      </c>
      <c r="J621">
        <v>2</v>
      </c>
      <c r="K621">
        <v>399</v>
      </c>
      <c r="L621">
        <v>135.82</v>
      </c>
      <c r="M621">
        <v>31397</v>
      </c>
      <c r="N621" t="s">
        <v>61</v>
      </c>
      <c r="O621" t="s">
        <v>27</v>
      </c>
      <c r="P621" t="s">
        <v>25</v>
      </c>
      <c r="Q621">
        <v>17</v>
      </c>
      <c r="R621">
        <v>131.53</v>
      </c>
    </row>
    <row r="622" spans="1:18" x14ac:dyDescent="0.3">
      <c r="A622" t="s">
        <v>1305</v>
      </c>
      <c r="B622" t="s">
        <v>1306</v>
      </c>
      <c r="C622" t="s">
        <v>31</v>
      </c>
      <c r="D622" t="s">
        <v>32</v>
      </c>
      <c r="E622" s="4">
        <v>43653</v>
      </c>
      <c r="F622" t="s">
        <v>69</v>
      </c>
      <c r="G622" t="s">
        <v>44</v>
      </c>
      <c r="H622" t="s">
        <v>75</v>
      </c>
      <c r="I622" t="s">
        <v>34</v>
      </c>
      <c r="J622">
        <v>1</v>
      </c>
      <c r="K622">
        <v>545</v>
      </c>
      <c r="L622">
        <v>4163.4799999999996</v>
      </c>
      <c r="M622">
        <v>12963</v>
      </c>
      <c r="N622" t="s">
        <v>61</v>
      </c>
      <c r="O622" t="s">
        <v>27</v>
      </c>
      <c r="P622" t="s">
        <v>38</v>
      </c>
      <c r="Q622">
        <v>15</v>
      </c>
      <c r="R622">
        <v>141.56</v>
      </c>
    </row>
    <row r="623" spans="1:18" x14ac:dyDescent="0.3">
      <c r="A623" t="s">
        <v>1307</v>
      </c>
      <c r="B623" t="s">
        <v>1308</v>
      </c>
      <c r="C623" t="s">
        <v>68</v>
      </c>
      <c r="D623" t="s">
        <v>109</v>
      </c>
      <c r="E623" s="4">
        <v>42073</v>
      </c>
      <c r="F623" t="s">
        <v>48</v>
      </c>
      <c r="G623" t="s">
        <v>23</v>
      </c>
      <c r="H623" t="s">
        <v>70</v>
      </c>
      <c r="I623" t="s">
        <v>76</v>
      </c>
      <c r="J623">
        <v>0</v>
      </c>
      <c r="K623">
        <v>1336</v>
      </c>
      <c r="L623">
        <v>659.73</v>
      </c>
      <c r="M623">
        <v>28148</v>
      </c>
      <c r="N623" t="s">
        <v>61</v>
      </c>
      <c r="O623" t="s">
        <v>56</v>
      </c>
      <c r="P623" t="s">
        <v>25</v>
      </c>
      <c r="Q623">
        <v>3</v>
      </c>
      <c r="R623">
        <v>112.09</v>
      </c>
    </row>
    <row r="624" spans="1:18" x14ac:dyDescent="0.3">
      <c r="A624" t="s">
        <v>1309</v>
      </c>
      <c r="B624" t="s">
        <v>1310</v>
      </c>
      <c r="C624" t="s">
        <v>31</v>
      </c>
      <c r="D624" t="s">
        <v>42</v>
      </c>
      <c r="E624" s="4">
        <v>42861</v>
      </c>
      <c r="F624" t="s">
        <v>48</v>
      </c>
      <c r="G624" t="s">
        <v>49</v>
      </c>
      <c r="H624" t="s">
        <v>70</v>
      </c>
      <c r="I624" t="s">
        <v>51</v>
      </c>
      <c r="J624">
        <v>7</v>
      </c>
      <c r="K624">
        <v>282</v>
      </c>
      <c r="L624">
        <v>2321.73</v>
      </c>
      <c r="M624">
        <v>35133</v>
      </c>
      <c r="N624" t="s">
        <v>26</v>
      </c>
      <c r="O624" t="s">
        <v>27</v>
      </c>
      <c r="P624" t="s">
        <v>38</v>
      </c>
      <c r="Q624">
        <v>36</v>
      </c>
      <c r="R624">
        <v>60.43</v>
      </c>
    </row>
    <row r="625" spans="1:18" x14ac:dyDescent="0.3">
      <c r="A625" t="s">
        <v>1311</v>
      </c>
      <c r="B625" t="s">
        <v>1312</v>
      </c>
      <c r="C625" t="s">
        <v>116</v>
      </c>
      <c r="D625" t="s">
        <v>109</v>
      </c>
      <c r="E625" s="4">
        <v>40492</v>
      </c>
      <c r="F625" t="s">
        <v>60</v>
      </c>
      <c r="G625" t="s">
        <v>49</v>
      </c>
      <c r="H625" t="s">
        <v>75</v>
      </c>
      <c r="I625" t="s">
        <v>51</v>
      </c>
      <c r="J625">
        <v>8</v>
      </c>
      <c r="K625">
        <v>697</v>
      </c>
      <c r="L625">
        <v>4432.04</v>
      </c>
      <c r="M625">
        <v>13220</v>
      </c>
      <c r="N625" t="s">
        <v>61</v>
      </c>
      <c r="O625" t="s">
        <v>62</v>
      </c>
      <c r="P625" t="s">
        <v>28</v>
      </c>
      <c r="Q625">
        <v>15</v>
      </c>
      <c r="R625">
        <v>223.85</v>
      </c>
    </row>
    <row r="626" spans="1:18" x14ac:dyDescent="0.3">
      <c r="A626" t="s">
        <v>1313</v>
      </c>
      <c r="B626" t="s">
        <v>1314</v>
      </c>
      <c r="C626" t="s">
        <v>68</v>
      </c>
      <c r="D626" t="s">
        <v>82</v>
      </c>
      <c r="E626" s="4">
        <v>41629</v>
      </c>
      <c r="F626" t="s">
        <v>43</v>
      </c>
      <c r="G626" t="s">
        <v>33</v>
      </c>
      <c r="H626" t="s">
        <v>50</v>
      </c>
      <c r="I626" t="s">
        <v>51</v>
      </c>
      <c r="J626">
        <v>0</v>
      </c>
      <c r="K626">
        <v>202</v>
      </c>
      <c r="L626">
        <v>4608.5</v>
      </c>
      <c r="M626">
        <v>42697</v>
      </c>
      <c r="N626" t="s">
        <v>26</v>
      </c>
      <c r="O626" t="s">
        <v>62</v>
      </c>
      <c r="P626" t="s">
        <v>51</v>
      </c>
      <c r="Q626">
        <v>14</v>
      </c>
      <c r="R626">
        <v>219.42</v>
      </c>
    </row>
    <row r="627" spans="1:18" x14ac:dyDescent="0.3">
      <c r="A627" t="s">
        <v>1315</v>
      </c>
      <c r="B627" t="s">
        <v>1316</v>
      </c>
      <c r="C627" t="s">
        <v>41</v>
      </c>
      <c r="D627" t="s">
        <v>32</v>
      </c>
      <c r="E627" s="4">
        <v>42719</v>
      </c>
      <c r="F627" t="s">
        <v>48</v>
      </c>
      <c r="G627" t="s">
        <v>83</v>
      </c>
      <c r="H627" t="s">
        <v>55</v>
      </c>
      <c r="I627" t="s">
        <v>51</v>
      </c>
      <c r="J627">
        <v>3</v>
      </c>
      <c r="K627">
        <v>131</v>
      </c>
      <c r="L627">
        <v>1822.23</v>
      </c>
      <c r="M627">
        <v>18683</v>
      </c>
      <c r="N627" t="s">
        <v>26</v>
      </c>
      <c r="O627" t="s">
        <v>56</v>
      </c>
      <c r="P627" t="s">
        <v>51</v>
      </c>
      <c r="Q627">
        <v>4</v>
      </c>
      <c r="R627">
        <v>77.75</v>
      </c>
    </row>
    <row r="628" spans="1:18" x14ac:dyDescent="0.3">
      <c r="A628" t="s">
        <v>1317</v>
      </c>
      <c r="B628" t="s">
        <v>1318</v>
      </c>
      <c r="C628" t="s">
        <v>68</v>
      </c>
      <c r="D628" t="s">
        <v>42</v>
      </c>
      <c r="E628" s="4">
        <v>41061</v>
      </c>
      <c r="F628" t="s">
        <v>43</v>
      </c>
      <c r="G628" t="s">
        <v>102</v>
      </c>
      <c r="H628" t="s">
        <v>24</v>
      </c>
      <c r="I628" t="s">
        <v>34</v>
      </c>
      <c r="J628">
        <v>4</v>
      </c>
      <c r="K628">
        <v>27</v>
      </c>
      <c r="L628">
        <v>496.27</v>
      </c>
      <c r="M628">
        <v>15303</v>
      </c>
      <c r="N628" t="s">
        <v>61</v>
      </c>
      <c r="O628" t="s">
        <v>37</v>
      </c>
      <c r="P628" t="s">
        <v>51</v>
      </c>
      <c r="Q628">
        <v>39</v>
      </c>
      <c r="R628">
        <v>32.130000000000003</v>
      </c>
    </row>
    <row r="629" spans="1:18" x14ac:dyDescent="0.3">
      <c r="A629" t="s">
        <v>1319</v>
      </c>
      <c r="B629" t="s">
        <v>1320</v>
      </c>
      <c r="C629" t="s">
        <v>31</v>
      </c>
      <c r="D629" t="s">
        <v>59</v>
      </c>
      <c r="E629" s="4">
        <v>45984</v>
      </c>
      <c r="F629" t="s">
        <v>48</v>
      </c>
      <c r="G629" t="s">
        <v>44</v>
      </c>
      <c r="H629" t="s">
        <v>75</v>
      </c>
      <c r="I629" t="s">
        <v>76</v>
      </c>
      <c r="J629">
        <v>6</v>
      </c>
      <c r="K629">
        <v>1291</v>
      </c>
      <c r="L629">
        <v>890.12</v>
      </c>
      <c r="M629">
        <v>26284</v>
      </c>
      <c r="N629" t="s">
        <v>61</v>
      </c>
      <c r="O629" t="s">
        <v>62</v>
      </c>
      <c r="P629" t="s">
        <v>45</v>
      </c>
      <c r="Q629">
        <v>5</v>
      </c>
      <c r="R629">
        <v>168.3</v>
      </c>
    </row>
    <row r="630" spans="1:18" x14ac:dyDescent="0.3">
      <c r="A630" t="s">
        <v>1321</v>
      </c>
      <c r="B630" t="s">
        <v>1322</v>
      </c>
      <c r="C630" t="s">
        <v>97</v>
      </c>
      <c r="D630" t="s">
        <v>59</v>
      </c>
      <c r="E630" s="4">
        <v>41580</v>
      </c>
      <c r="F630" t="s">
        <v>60</v>
      </c>
      <c r="G630" t="s">
        <v>102</v>
      </c>
      <c r="H630" t="s">
        <v>55</v>
      </c>
      <c r="I630" t="s">
        <v>34</v>
      </c>
      <c r="J630">
        <v>5</v>
      </c>
      <c r="K630">
        <v>53</v>
      </c>
      <c r="L630">
        <v>2568.85</v>
      </c>
      <c r="M630">
        <v>30047</v>
      </c>
      <c r="N630" t="s">
        <v>36</v>
      </c>
      <c r="O630" t="s">
        <v>27</v>
      </c>
      <c r="P630" t="s">
        <v>51</v>
      </c>
      <c r="Q630">
        <v>20</v>
      </c>
      <c r="R630">
        <v>158.22999999999999</v>
      </c>
    </row>
    <row r="631" spans="1:18" x14ac:dyDescent="0.3">
      <c r="A631" t="s">
        <v>1323</v>
      </c>
      <c r="B631" t="s">
        <v>1324</v>
      </c>
      <c r="C631" t="s">
        <v>41</v>
      </c>
      <c r="D631" t="s">
        <v>109</v>
      </c>
      <c r="E631" s="4">
        <v>43484</v>
      </c>
      <c r="F631" t="s">
        <v>69</v>
      </c>
      <c r="G631" t="s">
        <v>102</v>
      </c>
      <c r="H631" t="s">
        <v>70</v>
      </c>
      <c r="I631" t="s">
        <v>76</v>
      </c>
      <c r="J631">
        <v>6</v>
      </c>
      <c r="K631">
        <v>415</v>
      </c>
      <c r="L631">
        <v>1695.97</v>
      </c>
      <c r="M631">
        <v>8051</v>
      </c>
      <c r="N631" t="s">
        <v>36</v>
      </c>
      <c r="O631" t="s">
        <v>56</v>
      </c>
      <c r="P631" t="s">
        <v>38</v>
      </c>
      <c r="Q631">
        <v>7</v>
      </c>
      <c r="R631">
        <v>14.59</v>
      </c>
    </row>
    <row r="632" spans="1:18" x14ac:dyDescent="0.3">
      <c r="A632" t="s">
        <v>1325</v>
      </c>
      <c r="B632" t="s">
        <v>1326</v>
      </c>
      <c r="C632" t="s">
        <v>41</v>
      </c>
      <c r="D632" t="s">
        <v>109</v>
      </c>
      <c r="E632" s="4">
        <v>43971</v>
      </c>
      <c r="F632" t="s">
        <v>69</v>
      </c>
      <c r="G632" t="s">
        <v>33</v>
      </c>
      <c r="H632" t="s">
        <v>34</v>
      </c>
      <c r="I632" t="s">
        <v>51</v>
      </c>
      <c r="J632">
        <v>2</v>
      </c>
      <c r="K632">
        <v>462</v>
      </c>
      <c r="L632">
        <v>1911.21</v>
      </c>
      <c r="M632">
        <v>26314</v>
      </c>
      <c r="N632" t="s">
        <v>26</v>
      </c>
      <c r="O632" t="s">
        <v>56</v>
      </c>
      <c r="P632" t="s">
        <v>25</v>
      </c>
      <c r="Q632">
        <v>28</v>
      </c>
      <c r="R632">
        <v>205.2</v>
      </c>
    </row>
    <row r="633" spans="1:18" x14ac:dyDescent="0.3">
      <c r="A633" t="s">
        <v>1327</v>
      </c>
      <c r="B633" t="s">
        <v>1328</v>
      </c>
      <c r="C633" t="s">
        <v>116</v>
      </c>
      <c r="D633" t="s">
        <v>109</v>
      </c>
      <c r="E633" s="4">
        <v>44585</v>
      </c>
      <c r="F633" t="s">
        <v>69</v>
      </c>
      <c r="G633" t="s">
        <v>23</v>
      </c>
      <c r="H633" t="s">
        <v>34</v>
      </c>
      <c r="I633" t="s">
        <v>76</v>
      </c>
      <c r="J633">
        <v>8</v>
      </c>
      <c r="K633">
        <v>70</v>
      </c>
      <c r="L633">
        <v>2358.1799999999998</v>
      </c>
      <c r="M633">
        <v>34320</v>
      </c>
      <c r="N633" t="s">
        <v>36</v>
      </c>
      <c r="O633" t="s">
        <v>27</v>
      </c>
      <c r="P633" t="s">
        <v>28</v>
      </c>
      <c r="Q633">
        <v>49</v>
      </c>
      <c r="R633">
        <v>236.93</v>
      </c>
    </row>
    <row r="634" spans="1:18" x14ac:dyDescent="0.3">
      <c r="A634" t="s">
        <v>1329</v>
      </c>
      <c r="B634" t="s">
        <v>1330</v>
      </c>
      <c r="C634" t="s">
        <v>68</v>
      </c>
      <c r="D634" t="s">
        <v>21</v>
      </c>
      <c r="E634" s="4">
        <v>44720</v>
      </c>
      <c r="F634" t="s">
        <v>60</v>
      </c>
      <c r="G634" t="s">
        <v>102</v>
      </c>
      <c r="H634" t="s">
        <v>70</v>
      </c>
      <c r="I634" t="s">
        <v>34</v>
      </c>
      <c r="J634">
        <v>3</v>
      </c>
      <c r="K634">
        <v>425</v>
      </c>
      <c r="L634">
        <v>740.34</v>
      </c>
      <c r="M634">
        <v>13505</v>
      </c>
      <c r="N634" t="s">
        <v>61</v>
      </c>
      <c r="O634" t="s">
        <v>27</v>
      </c>
      <c r="P634" t="s">
        <v>52</v>
      </c>
      <c r="Q634">
        <v>10</v>
      </c>
      <c r="R634">
        <v>2.74</v>
      </c>
    </row>
    <row r="635" spans="1:18" x14ac:dyDescent="0.3">
      <c r="A635" t="s">
        <v>1331</v>
      </c>
      <c r="B635" t="s">
        <v>1332</v>
      </c>
      <c r="C635" t="s">
        <v>68</v>
      </c>
      <c r="D635" t="s">
        <v>32</v>
      </c>
      <c r="E635" s="4">
        <v>45013</v>
      </c>
      <c r="F635" t="s">
        <v>60</v>
      </c>
      <c r="G635" t="s">
        <v>83</v>
      </c>
      <c r="H635" t="s">
        <v>70</v>
      </c>
      <c r="I635" t="s">
        <v>76</v>
      </c>
      <c r="J635">
        <v>4</v>
      </c>
      <c r="K635">
        <v>1040</v>
      </c>
      <c r="L635">
        <v>3899.8</v>
      </c>
      <c r="M635">
        <v>39731</v>
      </c>
      <c r="N635" t="s">
        <v>61</v>
      </c>
      <c r="O635" t="s">
        <v>27</v>
      </c>
      <c r="P635" t="s">
        <v>45</v>
      </c>
      <c r="Q635">
        <v>28</v>
      </c>
      <c r="R635">
        <v>107.53</v>
      </c>
    </row>
    <row r="636" spans="1:18" x14ac:dyDescent="0.3">
      <c r="A636" t="s">
        <v>1333</v>
      </c>
      <c r="B636" t="s">
        <v>1334</v>
      </c>
      <c r="C636" t="s">
        <v>68</v>
      </c>
      <c r="D636" t="s">
        <v>59</v>
      </c>
      <c r="E636" s="4">
        <v>40600</v>
      </c>
      <c r="F636" t="s">
        <v>69</v>
      </c>
      <c r="G636" t="s">
        <v>44</v>
      </c>
      <c r="H636" t="s">
        <v>24</v>
      </c>
      <c r="I636" t="s">
        <v>76</v>
      </c>
      <c r="J636">
        <v>4</v>
      </c>
      <c r="K636">
        <v>1133</v>
      </c>
      <c r="L636">
        <v>903.48</v>
      </c>
      <c r="M636">
        <v>20310</v>
      </c>
      <c r="N636" t="s">
        <v>36</v>
      </c>
      <c r="O636" t="s">
        <v>27</v>
      </c>
      <c r="P636" t="s">
        <v>38</v>
      </c>
      <c r="Q636">
        <v>11</v>
      </c>
      <c r="R636">
        <v>153.19</v>
      </c>
    </row>
    <row r="637" spans="1:18" x14ac:dyDescent="0.3">
      <c r="A637" t="s">
        <v>1335</v>
      </c>
      <c r="B637" t="s">
        <v>1336</v>
      </c>
      <c r="C637" t="s">
        <v>68</v>
      </c>
      <c r="D637" t="s">
        <v>82</v>
      </c>
      <c r="E637" s="4">
        <v>42062</v>
      </c>
      <c r="F637" t="s">
        <v>22</v>
      </c>
      <c r="G637" t="s">
        <v>44</v>
      </c>
      <c r="H637" t="s">
        <v>75</v>
      </c>
      <c r="I637" t="s">
        <v>34</v>
      </c>
      <c r="J637">
        <v>0</v>
      </c>
      <c r="K637">
        <v>1062</v>
      </c>
      <c r="L637">
        <v>3256.35</v>
      </c>
      <c r="M637">
        <v>3104</v>
      </c>
      <c r="N637" t="s">
        <v>36</v>
      </c>
      <c r="O637" t="s">
        <v>37</v>
      </c>
      <c r="P637" t="s">
        <v>25</v>
      </c>
      <c r="Q637">
        <v>5</v>
      </c>
      <c r="R637">
        <v>147.6</v>
      </c>
    </row>
    <row r="638" spans="1:18" x14ac:dyDescent="0.3">
      <c r="A638" t="s">
        <v>1337</v>
      </c>
      <c r="B638" t="s">
        <v>1338</v>
      </c>
      <c r="C638" t="s">
        <v>97</v>
      </c>
      <c r="D638" t="s">
        <v>82</v>
      </c>
      <c r="E638" s="4">
        <v>43398</v>
      </c>
      <c r="F638" t="s">
        <v>65</v>
      </c>
      <c r="G638" t="s">
        <v>49</v>
      </c>
      <c r="H638" t="s">
        <v>50</v>
      </c>
      <c r="I638" t="s">
        <v>25</v>
      </c>
      <c r="J638">
        <v>4</v>
      </c>
      <c r="K638">
        <v>91</v>
      </c>
      <c r="L638">
        <v>4256.41</v>
      </c>
      <c r="M638">
        <v>3647</v>
      </c>
      <c r="N638" t="s">
        <v>26</v>
      </c>
      <c r="O638" t="s">
        <v>37</v>
      </c>
      <c r="P638" t="s">
        <v>45</v>
      </c>
      <c r="Q638">
        <v>31</v>
      </c>
      <c r="R638">
        <v>58.47</v>
      </c>
    </row>
    <row r="639" spans="1:18" x14ac:dyDescent="0.3">
      <c r="A639" t="s">
        <v>1339</v>
      </c>
      <c r="B639" t="s">
        <v>1340</v>
      </c>
      <c r="C639" t="s">
        <v>116</v>
      </c>
      <c r="D639" t="s">
        <v>21</v>
      </c>
      <c r="E639" s="4">
        <v>42216</v>
      </c>
      <c r="F639" t="s">
        <v>65</v>
      </c>
      <c r="G639" t="s">
        <v>23</v>
      </c>
      <c r="H639" t="s">
        <v>70</v>
      </c>
      <c r="I639" t="s">
        <v>34</v>
      </c>
      <c r="J639">
        <v>7</v>
      </c>
      <c r="K639">
        <v>452</v>
      </c>
      <c r="L639">
        <v>4960.62</v>
      </c>
      <c r="M639">
        <v>6154</v>
      </c>
      <c r="N639" t="s">
        <v>26</v>
      </c>
      <c r="O639" t="s">
        <v>37</v>
      </c>
      <c r="P639" t="s">
        <v>51</v>
      </c>
      <c r="Q639">
        <v>35</v>
      </c>
      <c r="R639">
        <v>165.64</v>
      </c>
    </row>
    <row r="640" spans="1:18" x14ac:dyDescent="0.3">
      <c r="A640" t="s">
        <v>1341</v>
      </c>
      <c r="B640" t="s">
        <v>1342</v>
      </c>
      <c r="C640" t="s">
        <v>31</v>
      </c>
      <c r="D640" t="s">
        <v>82</v>
      </c>
      <c r="E640" s="4">
        <v>43954</v>
      </c>
      <c r="F640" t="s">
        <v>65</v>
      </c>
      <c r="G640" t="s">
        <v>33</v>
      </c>
      <c r="H640" t="s">
        <v>75</v>
      </c>
      <c r="I640" t="s">
        <v>76</v>
      </c>
      <c r="J640">
        <v>8</v>
      </c>
      <c r="K640">
        <v>846</v>
      </c>
      <c r="L640">
        <v>4447.08</v>
      </c>
      <c r="M640">
        <v>42999</v>
      </c>
      <c r="N640" t="s">
        <v>36</v>
      </c>
      <c r="O640" t="s">
        <v>56</v>
      </c>
      <c r="P640" t="s">
        <v>25</v>
      </c>
      <c r="Q640">
        <v>14</v>
      </c>
      <c r="R640">
        <v>172.33</v>
      </c>
    </row>
    <row r="641" spans="1:18" x14ac:dyDescent="0.3">
      <c r="A641" t="s">
        <v>1343</v>
      </c>
      <c r="B641" t="s">
        <v>1344</v>
      </c>
      <c r="C641" t="s">
        <v>20</v>
      </c>
      <c r="D641" t="s">
        <v>32</v>
      </c>
      <c r="E641" s="4">
        <v>44699</v>
      </c>
      <c r="F641" t="s">
        <v>48</v>
      </c>
      <c r="G641" t="s">
        <v>44</v>
      </c>
      <c r="H641" t="s">
        <v>34</v>
      </c>
      <c r="I641" t="s">
        <v>76</v>
      </c>
      <c r="J641">
        <v>3</v>
      </c>
      <c r="K641">
        <v>634</v>
      </c>
      <c r="L641">
        <v>4817.29</v>
      </c>
      <c r="M641">
        <v>32379</v>
      </c>
      <c r="N641" t="s">
        <v>61</v>
      </c>
      <c r="O641" t="s">
        <v>37</v>
      </c>
      <c r="P641" t="s">
        <v>45</v>
      </c>
      <c r="Q641">
        <v>39</v>
      </c>
      <c r="R641">
        <v>36.9</v>
      </c>
    </row>
    <row r="642" spans="1:18" x14ac:dyDescent="0.3">
      <c r="A642" t="s">
        <v>1345</v>
      </c>
      <c r="B642" t="s">
        <v>1346</v>
      </c>
      <c r="C642" t="s">
        <v>68</v>
      </c>
      <c r="D642" t="s">
        <v>59</v>
      </c>
      <c r="E642" s="4">
        <v>42096</v>
      </c>
      <c r="F642" t="s">
        <v>60</v>
      </c>
      <c r="G642" t="s">
        <v>44</v>
      </c>
      <c r="H642" t="s">
        <v>34</v>
      </c>
      <c r="I642" t="s">
        <v>34</v>
      </c>
      <c r="J642">
        <v>1</v>
      </c>
      <c r="K642">
        <v>402</v>
      </c>
      <c r="L642">
        <v>4859.37</v>
      </c>
      <c r="M642">
        <v>19439</v>
      </c>
      <c r="N642" t="s">
        <v>61</v>
      </c>
      <c r="O642" t="s">
        <v>56</v>
      </c>
      <c r="P642" t="s">
        <v>45</v>
      </c>
      <c r="Q642">
        <v>45</v>
      </c>
      <c r="R642">
        <v>53.08</v>
      </c>
    </row>
    <row r="643" spans="1:18" x14ac:dyDescent="0.3">
      <c r="A643" t="s">
        <v>1347</v>
      </c>
      <c r="B643" t="s">
        <v>1348</v>
      </c>
      <c r="C643" t="s">
        <v>41</v>
      </c>
      <c r="D643" t="s">
        <v>82</v>
      </c>
      <c r="E643" s="4">
        <v>40391</v>
      </c>
      <c r="F643" t="s">
        <v>22</v>
      </c>
      <c r="G643" t="s">
        <v>33</v>
      </c>
      <c r="H643" t="s">
        <v>34</v>
      </c>
      <c r="I643" t="s">
        <v>25</v>
      </c>
      <c r="J643">
        <v>1</v>
      </c>
      <c r="K643">
        <v>890</v>
      </c>
      <c r="L643">
        <v>2388.5</v>
      </c>
      <c r="M643">
        <v>45838</v>
      </c>
      <c r="N643" t="s">
        <v>26</v>
      </c>
      <c r="O643" t="s">
        <v>37</v>
      </c>
      <c r="P643" t="s">
        <v>52</v>
      </c>
      <c r="Q643">
        <v>26</v>
      </c>
      <c r="R643">
        <v>138.6</v>
      </c>
    </row>
    <row r="644" spans="1:18" x14ac:dyDescent="0.3">
      <c r="A644" t="s">
        <v>1349</v>
      </c>
      <c r="B644" t="s">
        <v>1350</v>
      </c>
      <c r="C644" t="s">
        <v>97</v>
      </c>
      <c r="D644" t="s">
        <v>109</v>
      </c>
      <c r="E644" s="4">
        <v>45285</v>
      </c>
      <c r="F644" t="s">
        <v>43</v>
      </c>
      <c r="G644" t="s">
        <v>83</v>
      </c>
      <c r="H644" t="s">
        <v>50</v>
      </c>
      <c r="I644" t="s">
        <v>51</v>
      </c>
      <c r="J644">
        <v>6</v>
      </c>
      <c r="K644">
        <v>1279</v>
      </c>
      <c r="L644">
        <v>3149.89</v>
      </c>
      <c r="M644">
        <v>6380</v>
      </c>
      <c r="N644" t="s">
        <v>26</v>
      </c>
      <c r="O644" t="s">
        <v>62</v>
      </c>
      <c r="P644" t="s">
        <v>25</v>
      </c>
      <c r="Q644">
        <v>26</v>
      </c>
      <c r="R644">
        <v>146.22</v>
      </c>
    </row>
    <row r="645" spans="1:18" x14ac:dyDescent="0.3">
      <c r="A645" t="s">
        <v>1351</v>
      </c>
      <c r="B645" t="s">
        <v>1352</v>
      </c>
      <c r="C645" t="s">
        <v>97</v>
      </c>
      <c r="D645" t="s">
        <v>42</v>
      </c>
      <c r="E645" s="4">
        <v>43895</v>
      </c>
      <c r="F645" t="s">
        <v>22</v>
      </c>
      <c r="G645" t="s">
        <v>44</v>
      </c>
      <c r="H645" t="s">
        <v>75</v>
      </c>
      <c r="I645" t="s">
        <v>34</v>
      </c>
      <c r="J645">
        <v>5</v>
      </c>
      <c r="K645">
        <v>958</v>
      </c>
      <c r="L645">
        <v>1607</v>
      </c>
      <c r="M645">
        <v>8901</v>
      </c>
      <c r="N645" t="s">
        <v>36</v>
      </c>
      <c r="O645" t="s">
        <v>56</v>
      </c>
      <c r="P645" t="s">
        <v>25</v>
      </c>
      <c r="Q645">
        <v>4</v>
      </c>
      <c r="R645">
        <v>85.44</v>
      </c>
    </row>
    <row r="646" spans="1:18" x14ac:dyDescent="0.3">
      <c r="A646" t="s">
        <v>1353</v>
      </c>
      <c r="B646" t="s">
        <v>1354</v>
      </c>
      <c r="C646" t="s">
        <v>116</v>
      </c>
      <c r="D646" t="s">
        <v>32</v>
      </c>
      <c r="E646" s="4">
        <v>43382</v>
      </c>
      <c r="F646" t="s">
        <v>65</v>
      </c>
      <c r="G646" t="s">
        <v>83</v>
      </c>
      <c r="H646" t="s">
        <v>24</v>
      </c>
      <c r="I646" t="s">
        <v>92</v>
      </c>
      <c r="J646">
        <v>7</v>
      </c>
      <c r="K646">
        <v>1492</v>
      </c>
      <c r="L646">
        <v>3657.35</v>
      </c>
      <c r="M646">
        <v>8946</v>
      </c>
      <c r="N646" t="s">
        <v>36</v>
      </c>
      <c r="O646" t="s">
        <v>62</v>
      </c>
      <c r="P646" t="s">
        <v>52</v>
      </c>
      <c r="Q646">
        <v>32</v>
      </c>
      <c r="R646">
        <v>61.58</v>
      </c>
    </row>
    <row r="647" spans="1:18" x14ac:dyDescent="0.3">
      <c r="A647" t="s">
        <v>1355</v>
      </c>
      <c r="B647" t="s">
        <v>1356</v>
      </c>
      <c r="C647" t="s">
        <v>79</v>
      </c>
      <c r="D647" t="s">
        <v>21</v>
      </c>
      <c r="E647" s="4">
        <v>44395</v>
      </c>
      <c r="F647" t="s">
        <v>43</v>
      </c>
      <c r="G647" t="s">
        <v>44</v>
      </c>
      <c r="H647" t="s">
        <v>55</v>
      </c>
      <c r="I647" t="s">
        <v>51</v>
      </c>
      <c r="J647">
        <v>2</v>
      </c>
      <c r="K647">
        <v>942</v>
      </c>
      <c r="L647">
        <v>2674.83</v>
      </c>
      <c r="M647">
        <v>12593</v>
      </c>
      <c r="N647" t="s">
        <v>26</v>
      </c>
      <c r="O647" t="s">
        <v>62</v>
      </c>
      <c r="P647" t="s">
        <v>52</v>
      </c>
      <c r="Q647">
        <v>20</v>
      </c>
      <c r="R647">
        <v>114.84</v>
      </c>
    </row>
    <row r="648" spans="1:18" x14ac:dyDescent="0.3">
      <c r="A648" t="s">
        <v>1357</v>
      </c>
      <c r="B648" t="s">
        <v>1358</v>
      </c>
      <c r="C648" t="s">
        <v>97</v>
      </c>
      <c r="D648" t="s">
        <v>21</v>
      </c>
      <c r="E648" s="4">
        <v>44955</v>
      </c>
      <c r="F648" t="s">
        <v>69</v>
      </c>
      <c r="G648" t="s">
        <v>44</v>
      </c>
      <c r="H648" t="s">
        <v>70</v>
      </c>
      <c r="I648" t="s">
        <v>76</v>
      </c>
      <c r="J648">
        <v>6</v>
      </c>
      <c r="K648">
        <v>1098</v>
      </c>
      <c r="L648">
        <v>1881.61</v>
      </c>
      <c r="M648">
        <v>38339</v>
      </c>
      <c r="N648" t="s">
        <v>61</v>
      </c>
      <c r="O648" t="s">
        <v>27</v>
      </c>
      <c r="P648" t="s">
        <v>45</v>
      </c>
      <c r="Q648">
        <v>40</v>
      </c>
      <c r="R648">
        <v>84.16</v>
      </c>
    </row>
    <row r="649" spans="1:18" x14ac:dyDescent="0.3">
      <c r="A649" t="s">
        <v>1359</v>
      </c>
      <c r="B649" t="s">
        <v>1360</v>
      </c>
      <c r="C649" t="s">
        <v>116</v>
      </c>
      <c r="D649" t="s">
        <v>21</v>
      </c>
      <c r="E649" s="4">
        <v>45529</v>
      </c>
      <c r="F649" t="s">
        <v>48</v>
      </c>
      <c r="G649" t="s">
        <v>49</v>
      </c>
      <c r="H649" t="s">
        <v>55</v>
      </c>
      <c r="I649" t="s">
        <v>92</v>
      </c>
      <c r="J649">
        <v>1</v>
      </c>
      <c r="K649">
        <v>692</v>
      </c>
      <c r="L649">
        <v>1036.68</v>
      </c>
      <c r="M649">
        <v>27702</v>
      </c>
      <c r="N649" t="s">
        <v>36</v>
      </c>
      <c r="O649" t="s">
        <v>56</v>
      </c>
      <c r="P649" t="s">
        <v>25</v>
      </c>
      <c r="Q649">
        <v>2</v>
      </c>
      <c r="R649">
        <v>142</v>
      </c>
    </row>
    <row r="650" spans="1:18" x14ac:dyDescent="0.3">
      <c r="A650" t="s">
        <v>1361</v>
      </c>
      <c r="B650" t="s">
        <v>1362</v>
      </c>
      <c r="C650" t="s">
        <v>79</v>
      </c>
      <c r="D650" t="s">
        <v>109</v>
      </c>
      <c r="E650" s="4">
        <v>43492</v>
      </c>
      <c r="F650" t="s">
        <v>60</v>
      </c>
      <c r="G650" t="s">
        <v>23</v>
      </c>
      <c r="H650" t="s">
        <v>24</v>
      </c>
      <c r="I650" t="s">
        <v>35</v>
      </c>
      <c r="J650">
        <v>0</v>
      </c>
      <c r="K650">
        <v>277</v>
      </c>
      <c r="L650">
        <v>3712.83</v>
      </c>
      <c r="M650">
        <v>24827</v>
      </c>
      <c r="N650" t="s">
        <v>36</v>
      </c>
      <c r="O650" t="s">
        <v>27</v>
      </c>
      <c r="P650" t="s">
        <v>28</v>
      </c>
      <c r="Q650">
        <v>44</v>
      </c>
      <c r="R650">
        <v>50.51</v>
      </c>
    </row>
    <row r="651" spans="1:18" x14ac:dyDescent="0.3">
      <c r="A651" t="s">
        <v>1363</v>
      </c>
      <c r="B651" t="s">
        <v>1364</v>
      </c>
      <c r="C651" t="s">
        <v>20</v>
      </c>
      <c r="D651" t="s">
        <v>21</v>
      </c>
      <c r="E651" s="4">
        <v>45056</v>
      </c>
      <c r="F651" t="s">
        <v>43</v>
      </c>
      <c r="G651" t="s">
        <v>83</v>
      </c>
      <c r="H651" t="s">
        <v>75</v>
      </c>
      <c r="I651" t="s">
        <v>51</v>
      </c>
      <c r="J651">
        <v>8</v>
      </c>
      <c r="K651">
        <v>1090</v>
      </c>
      <c r="L651">
        <v>1880.89</v>
      </c>
      <c r="M651">
        <v>44809</v>
      </c>
      <c r="N651" t="s">
        <v>36</v>
      </c>
      <c r="O651" t="s">
        <v>62</v>
      </c>
      <c r="P651" t="s">
        <v>52</v>
      </c>
      <c r="Q651">
        <v>31</v>
      </c>
      <c r="R651">
        <v>57.49</v>
      </c>
    </row>
    <row r="652" spans="1:18" x14ac:dyDescent="0.3">
      <c r="A652" t="s">
        <v>1365</v>
      </c>
      <c r="B652" t="s">
        <v>1366</v>
      </c>
      <c r="C652" t="s">
        <v>79</v>
      </c>
      <c r="D652" t="s">
        <v>42</v>
      </c>
      <c r="E652" s="4">
        <v>41019</v>
      </c>
      <c r="F652" t="s">
        <v>48</v>
      </c>
      <c r="G652" t="s">
        <v>33</v>
      </c>
      <c r="H652" t="s">
        <v>55</v>
      </c>
      <c r="I652" t="s">
        <v>92</v>
      </c>
      <c r="J652">
        <v>4</v>
      </c>
      <c r="K652">
        <v>229</v>
      </c>
      <c r="L652">
        <v>1863.77</v>
      </c>
      <c r="M652">
        <v>47330</v>
      </c>
      <c r="N652" t="s">
        <v>36</v>
      </c>
      <c r="O652" t="s">
        <v>62</v>
      </c>
      <c r="P652" t="s">
        <v>28</v>
      </c>
      <c r="Q652">
        <v>19</v>
      </c>
      <c r="R652">
        <v>219.63</v>
      </c>
    </row>
    <row r="653" spans="1:18" x14ac:dyDescent="0.3">
      <c r="A653" t="s">
        <v>1367</v>
      </c>
      <c r="B653" t="s">
        <v>1368</v>
      </c>
      <c r="C653" t="s">
        <v>79</v>
      </c>
      <c r="D653" t="s">
        <v>59</v>
      </c>
      <c r="E653" s="4">
        <v>43550</v>
      </c>
      <c r="F653" t="s">
        <v>43</v>
      </c>
      <c r="G653" t="s">
        <v>33</v>
      </c>
      <c r="H653" t="s">
        <v>55</v>
      </c>
      <c r="I653" t="s">
        <v>34</v>
      </c>
      <c r="J653">
        <v>3</v>
      </c>
      <c r="K653">
        <v>981</v>
      </c>
      <c r="L653">
        <v>2191.3000000000002</v>
      </c>
      <c r="M653">
        <v>17193</v>
      </c>
      <c r="N653" t="s">
        <v>26</v>
      </c>
      <c r="O653" t="s">
        <v>62</v>
      </c>
      <c r="P653" t="s">
        <v>28</v>
      </c>
      <c r="Q653">
        <v>48</v>
      </c>
      <c r="R653">
        <v>230.17</v>
      </c>
    </row>
    <row r="654" spans="1:18" x14ac:dyDescent="0.3">
      <c r="A654" t="s">
        <v>1369</v>
      </c>
      <c r="B654" t="s">
        <v>1370</v>
      </c>
      <c r="C654" t="s">
        <v>97</v>
      </c>
      <c r="D654" t="s">
        <v>21</v>
      </c>
      <c r="E654" s="4">
        <v>44796</v>
      </c>
      <c r="F654" t="s">
        <v>48</v>
      </c>
      <c r="G654" t="s">
        <v>33</v>
      </c>
      <c r="H654" t="s">
        <v>24</v>
      </c>
      <c r="I654" t="s">
        <v>35</v>
      </c>
      <c r="J654">
        <v>1</v>
      </c>
      <c r="K654">
        <v>381</v>
      </c>
      <c r="L654">
        <v>4817.63</v>
      </c>
      <c r="M654">
        <v>15833</v>
      </c>
      <c r="N654" t="s">
        <v>61</v>
      </c>
      <c r="O654" t="s">
        <v>62</v>
      </c>
      <c r="P654" t="s">
        <v>28</v>
      </c>
      <c r="Q654">
        <v>5</v>
      </c>
      <c r="R654">
        <v>117.67</v>
      </c>
    </row>
    <row r="655" spans="1:18" x14ac:dyDescent="0.3">
      <c r="A655" t="s">
        <v>1371</v>
      </c>
      <c r="B655" t="s">
        <v>1372</v>
      </c>
      <c r="C655" t="s">
        <v>97</v>
      </c>
      <c r="D655" t="s">
        <v>109</v>
      </c>
      <c r="E655" s="4">
        <v>43213</v>
      </c>
      <c r="F655" t="s">
        <v>48</v>
      </c>
      <c r="G655" t="s">
        <v>23</v>
      </c>
      <c r="H655" t="s">
        <v>24</v>
      </c>
      <c r="I655" t="s">
        <v>35</v>
      </c>
      <c r="J655">
        <v>8</v>
      </c>
      <c r="K655">
        <v>415</v>
      </c>
      <c r="L655">
        <v>2636.55</v>
      </c>
      <c r="M655">
        <v>2613</v>
      </c>
      <c r="N655" t="s">
        <v>26</v>
      </c>
      <c r="O655" t="s">
        <v>56</v>
      </c>
      <c r="P655" t="s">
        <v>51</v>
      </c>
      <c r="Q655">
        <v>16</v>
      </c>
      <c r="R655">
        <v>172.27</v>
      </c>
    </row>
    <row r="656" spans="1:18" x14ac:dyDescent="0.3">
      <c r="A656" t="s">
        <v>1373</v>
      </c>
      <c r="B656" t="s">
        <v>1374</v>
      </c>
      <c r="C656" t="s">
        <v>20</v>
      </c>
      <c r="D656" t="s">
        <v>59</v>
      </c>
      <c r="E656" s="4">
        <v>45112</v>
      </c>
      <c r="F656" t="s">
        <v>43</v>
      </c>
      <c r="G656" t="s">
        <v>102</v>
      </c>
      <c r="H656" t="s">
        <v>24</v>
      </c>
      <c r="I656" t="s">
        <v>25</v>
      </c>
      <c r="J656">
        <v>1</v>
      </c>
      <c r="K656">
        <v>1057</v>
      </c>
      <c r="L656">
        <v>1219.9000000000001</v>
      </c>
      <c r="M656">
        <v>33475</v>
      </c>
      <c r="N656" t="s">
        <v>26</v>
      </c>
      <c r="O656" t="s">
        <v>27</v>
      </c>
      <c r="P656" t="s">
        <v>25</v>
      </c>
      <c r="Q656">
        <v>27</v>
      </c>
      <c r="R656">
        <v>243.91</v>
      </c>
    </row>
    <row r="657" spans="1:18" x14ac:dyDescent="0.3">
      <c r="A657" t="s">
        <v>1375</v>
      </c>
      <c r="B657" t="s">
        <v>1376</v>
      </c>
      <c r="C657" t="s">
        <v>79</v>
      </c>
      <c r="D657" t="s">
        <v>32</v>
      </c>
      <c r="E657" s="4">
        <v>44811</v>
      </c>
      <c r="F657" t="s">
        <v>48</v>
      </c>
      <c r="G657" t="s">
        <v>102</v>
      </c>
      <c r="H657" t="s">
        <v>50</v>
      </c>
      <c r="I657" t="s">
        <v>76</v>
      </c>
      <c r="J657">
        <v>4</v>
      </c>
      <c r="K657">
        <v>43</v>
      </c>
      <c r="L657">
        <v>1515.96</v>
      </c>
      <c r="M657">
        <v>41599</v>
      </c>
      <c r="N657" t="s">
        <v>26</v>
      </c>
      <c r="O657" t="s">
        <v>62</v>
      </c>
      <c r="P657" t="s">
        <v>52</v>
      </c>
      <c r="Q657">
        <v>8</v>
      </c>
      <c r="R657">
        <v>47.7</v>
      </c>
    </row>
    <row r="658" spans="1:18" x14ac:dyDescent="0.3">
      <c r="A658" t="s">
        <v>1377</v>
      </c>
      <c r="B658" t="s">
        <v>1378</v>
      </c>
      <c r="C658" t="s">
        <v>79</v>
      </c>
      <c r="D658" t="s">
        <v>21</v>
      </c>
      <c r="E658" s="4">
        <v>42244</v>
      </c>
      <c r="F658" t="s">
        <v>48</v>
      </c>
      <c r="G658" t="s">
        <v>83</v>
      </c>
      <c r="H658" t="s">
        <v>55</v>
      </c>
      <c r="I658" t="s">
        <v>35</v>
      </c>
      <c r="J658">
        <v>1</v>
      </c>
      <c r="K658">
        <v>1384</v>
      </c>
      <c r="L658">
        <v>4069</v>
      </c>
      <c r="M658">
        <v>24574</v>
      </c>
      <c r="N658" t="s">
        <v>36</v>
      </c>
      <c r="O658" t="s">
        <v>37</v>
      </c>
      <c r="P658" t="s">
        <v>52</v>
      </c>
      <c r="Q658">
        <v>25</v>
      </c>
      <c r="R658">
        <v>118.61</v>
      </c>
    </row>
    <row r="659" spans="1:18" x14ac:dyDescent="0.3">
      <c r="A659" t="s">
        <v>1379</v>
      </c>
      <c r="B659" t="s">
        <v>1380</v>
      </c>
      <c r="C659" t="s">
        <v>31</v>
      </c>
      <c r="D659" t="s">
        <v>109</v>
      </c>
      <c r="E659" s="4">
        <v>42288</v>
      </c>
      <c r="F659" t="s">
        <v>22</v>
      </c>
      <c r="G659" t="s">
        <v>83</v>
      </c>
      <c r="H659" t="s">
        <v>24</v>
      </c>
      <c r="I659" t="s">
        <v>25</v>
      </c>
      <c r="J659">
        <v>8</v>
      </c>
      <c r="K659">
        <v>1434</v>
      </c>
      <c r="L659">
        <v>2295.48</v>
      </c>
      <c r="M659">
        <v>2495</v>
      </c>
      <c r="N659" t="s">
        <v>61</v>
      </c>
      <c r="O659" t="s">
        <v>27</v>
      </c>
      <c r="P659" t="s">
        <v>51</v>
      </c>
      <c r="Q659">
        <v>38</v>
      </c>
      <c r="R659">
        <v>174.37</v>
      </c>
    </row>
    <row r="660" spans="1:18" x14ac:dyDescent="0.3">
      <c r="A660" t="s">
        <v>1381</v>
      </c>
      <c r="B660" t="s">
        <v>1382</v>
      </c>
      <c r="C660" t="s">
        <v>68</v>
      </c>
      <c r="D660" t="s">
        <v>59</v>
      </c>
      <c r="E660" s="4">
        <v>40989</v>
      </c>
      <c r="F660" t="s">
        <v>60</v>
      </c>
      <c r="G660" t="s">
        <v>49</v>
      </c>
      <c r="H660" t="s">
        <v>50</v>
      </c>
      <c r="I660" t="s">
        <v>34</v>
      </c>
      <c r="J660">
        <v>7</v>
      </c>
      <c r="K660">
        <v>910</v>
      </c>
      <c r="L660">
        <v>3248.72</v>
      </c>
      <c r="M660">
        <v>41707</v>
      </c>
      <c r="N660" t="s">
        <v>61</v>
      </c>
      <c r="O660" t="s">
        <v>37</v>
      </c>
      <c r="P660" t="s">
        <v>25</v>
      </c>
      <c r="Q660">
        <v>24</v>
      </c>
      <c r="R660">
        <v>35.39</v>
      </c>
    </row>
    <row r="661" spans="1:18" x14ac:dyDescent="0.3">
      <c r="A661" t="s">
        <v>1383</v>
      </c>
      <c r="B661" t="s">
        <v>1384</v>
      </c>
      <c r="C661" t="s">
        <v>116</v>
      </c>
      <c r="D661" t="s">
        <v>32</v>
      </c>
      <c r="E661" s="4">
        <v>44706</v>
      </c>
      <c r="F661" t="s">
        <v>48</v>
      </c>
      <c r="G661" t="s">
        <v>33</v>
      </c>
      <c r="H661" t="s">
        <v>34</v>
      </c>
      <c r="I661" t="s">
        <v>76</v>
      </c>
      <c r="J661">
        <v>6</v>
      </c>
      <c r="K661">
        <v>407</v>
      </c>
      <c r="L661">
        <v>410.33</v>
      </c>
      <c r="M661">
        <v>45900</v>
      </c>
      <c r="N661" t="s">
        <v>61</v>
      </c>
      <c r="O661" t="s">
        <v>27</v>
      </c>
      <c r="P661" t="s">
        <v>38</v>
      </c>
      <c r="Q661">
        <v>12</v>
      </c>
      <c r="R661">
        <v>36.409999999999997</v>
      </c>
    </row>
    <row r="662" spans="1:18" x14ac:dyDescent="0.3">
      <c r="A662" t="s">
        <v>1385</v>
      </c>
      <c r="B662" t="s">
        <v>1386</v>
      </c>
      <c r="C662" t="s">
        <v>41</v>
      </c>
      <c r="D662" t="s">
        <v>59</v>
      </c>
      <c r="E662" s="4">
        <v>45194</v>
      </c>
      <c r="F662" t="s">
        <v>48</v>
      </c>
      <c r="G662" t="s">
        <v>102</v>
      </c>
      <c r="H662" t="s">
        <v>50</v>
      </c>
      <c r="I662" t="s">
        <v>76</v>
      </c>
      <c r="J662">
        <v>0</v>
      </c>
      <c r="K662">
        <v>535</v>
      </c>
      <c r="L662">
        <v>4934.53</v>
      </c>
      <c r="M662">
        <v>16882</v>
      </c>
      <c r="N662" t="s">
        <v>26</v>
      </c>
      <c r="O662" t="s">
        <v>62</v>
      </c>
      <c r="P662" t="s">
        <v>25</v>
      </c>
      <c r="Q662">
        <v>20</v>
      </c>
      <c r="R662">
        <v>72.5</v>
      </c>
    </row>
    <row r="663" spans="1:18" x14ac:dyDescent="0.3">
      <c r="A663" t="s">
        <v>1387</v>
      </c>
      <c r="B663" t="s">
        <v>1388</v>
      </c>
      <c r="C663" t="s">
        <v>97</v>
      </c>
      <c r="D663" t="s">
        <v>42</v>
      </c>
      <c r="E663" s="4">
        <v>43641</v>
      </c>
      <c r="F663" t="s">
        <v>48</v>
      </c>
      <c r="G663" t="s">
        <v>33</v>
      </c>
      <c r="H663" t="s">
        <v>55</v>
      </c>
      <c r="I663" t="s">
        <v>35</v>
      </c>
      <c r="J663">
        <v>1</v>
      </c>
      <c r="K663">
        <v>1196</v>
      </c>
      <c r="L663">
        <v>833.47</v>
      </c>
      <c r="M663">
        <v>11715</v>
      </c>
      <c r="N663" t="s">
        <v>26</v>
      </c>
      <c r="O663" t="s">
        <v>56</v>
      </c>
      <c r="P663" t="s">
        <v>38</v>
      </c>
      <c r="Q663">
        <v>41</v>
      </c>
      <c r="R663">
        <v>39.619999999999997</v>
      </c>
    </row>
    <row r="664" spans="1:18" x14ac:dyDescent="0.3">
      <c r="A664" t="s">
        <v>1389</v>
      </c>
      <c r="B664" t="s">
        <v>1390</v>
      </c>
      <c r="C664" t="s">
        <v>20</v>
      </c>
      <c r="D664" t="s">
        <v>59</v>
      </c>
      <c r="E664" s="4">
        <v>44527</v>
      </c>
      <c r="F664" t="s">
        <v>43</v>
      </c>
      <c r="G664" t="s">
        <v>102</v>
      </c>
      <c r="H664" t="s">
        <v>24</v>
      </c>
      <c r="I664" t="s">
        <v>35</v>
      </c>
      <c r="J664">
        <v>3</v>
      </c>
      <c r="K664">
        <v>1402</v>
      </c>
      <c r="L664">
        <v>4526.0200000000004</v>
      </c>
      <c r="M664">
        <v>9726</v>
      </c>
      <c r="N664" t="s">
        <v>26</v>
      </c>
      <c r="O664" t="s">
        <v>56</v>
      </c>
      <c r="P664" t="s">
        <v>25</v>
      </c>
      <c r="Q664">
        <v>49</v>
      </c>
      <c r="R664">
        <v>240.16</v>
      </c>
    </row>
    <row r="665" spans="1:18" x14ac:dyDescent="0.3">
      <c r="A665" t="s">
        <v>1391</v>
      </c>
      <c r="B665" t="s">
        <v>1392</v>
      </c>
      <c r="C665" t="s">
        <v>31</v>
      </c>
      <c r="D665" t="s">
        <v>32</v>
      </c>
      <c r="E665" s="4">
        <v>45238</v>
      </c>
      <c r="F665" t="s">
        <v>65</v>
      </c>
      <c r="G665" t="s">
        <v>83</v>
      </c>
      <c r="H665" t="s">
        <v>34</v>
      </c>
      <c r="I665" t="s">
        <v>34</v>
      </c>
      <c r="J665">
        <v>4</v>
      </c>
      <c r="K665">
        <v>205</v>
      </c>
      <c r="L665">
        <v>3453.28</v>
      </c>
      <c r="M665">
        <v>17011</v>
      </c>
      <c r="N665" t="s">
        <v>26</v>
      </c>
      <c r="O665" t="s">
        <v>56</v>
      </c>
      <c r="P665" t="s">
        <v>45</v>
      </c>
      <c r="Q665">
        <v>12</v>
      </c>
      <c r="R665">
        <v>237.31</v>
      </c>
    </row>
    <row r="666" spans="1:18" x14ac:dyDescent="0.3">
      <c r="A666" t="s">
        <v>1393</v>
      </c>
      <c r="B666" t="s">
        <v>1394</v>
      </c>
      <c r="C666" t="s">
        <v>41</v>
      </c>
      <c r="D666" t="s">
        <v>32</v>
      </c>
      <c r="E666" s="4">
        <v>42487</v>
      </c>
      <c r="F666" t="s">
        <v>48</v>
      </c>
      <c r="G666" t="s">
        <v>44</v>
      </c>
      <c r="H666" t="s">
        <v>34</v>
      </c>
      <c r="I666" t="s">
        <v>34</v>
      </c>
      <c r="J666">
        <v>2</v>
      </c>
      <c r="K666">
        <v>56</v>
      </c>
      <c r="L666">
        <v>1826.97</v>
      </c>
      <c r="M666">
        <v>8305</v>
      </c>
      <c r="N666" t="s">
        <v>26</v>
      </c>
      <c r="O666" t="s">
        <v>37</v>
      </c>
      <c r="P666" t="s">
        <v>28</v>
      </c>
      <c r="Q666">
        <v>24</v>
      </c>
      <c r="R666">
        <v>208.67</v>
      </c>
    </row>
    <row r="667" spans="1:18" x14ac:dyDescent="0.3">
      <c r="A667" t="s">
        <v>1395</v>
      </c>
      <c r="B667" t="s">
        <v>1396</v>
      </c>
      <c r="C667" t="s">
        <v>68</v>
      </c>
      <c r="D667" t="s">
        <v>82</v>
      </c>
      <c r="E667" s="4">
        <v>46011</v>
      </c>
      <c r="F667" t="s">
        <v>65</v>
      </c>
      <c r="G667" t="s">
        <v>33</v>
      </c>
      <c r="H667" t="s">
        <v>55</v>
      </c>
      <c r="I667" t="s">
        <v>34</v>
      </c>
      <c r="J667">
        <v>4</v>
      </c>
      <c r="K667">
        <v>1152</v>
      </c>
      <c r="L667">
        <v>486.52</v>
      </c>
      <c r="M667">
        <v>15266</v>
      </c>
      <c r="N667" t="s">
        <v>61</v>
      </c>
      <c r="O667" t="s">
        <v>37</v>
      </c>
      <c r="P667" t="s">
        <v>38</v>
      </c>
      <c r="Q667">
        <v>19</v>
      </c>
      <c r="R667">
        <v>159.65</v>
      </c>
    </row>
    <row r="668" spans="1:18" x14ac:dyDescent="0.3">
      <c r="A668" t="s">
        <v>1397</v>
      </c>
      <c r="B668" t="s">
        <v>1398</v>
      </c>
      <c r="C668" t="s">
        <v>68</v>
      </c>
      <c r="D668" t="s">
        <v>21</v>
      </c>
      <c r="E668" s="4">
        <v>41424</v>
      </c>
      <c r="F668" t="s">
        <v>43</v>
      </c>
      <c r="G668" t="s">
        <v>102</v>
      </c>
      <c r="H668" t="s">
        <v>75</v>
      </c>
      <c r="I668" t="s">
        <v>34</v>
      </c>
      <c r="J668">
        <v>1</v>
      </c>
      <c r="K668">
        <v>709</v>
      </c>
      <c r="L668">
        <v>2285.9899999999998</v>
      </c>
      <c r="M668">
        <v>911</v>
      </c>
      <c r="N668" t="s">
        <v>61</v>
      </c>
      <c r="O668" t="s">
        <v>27</v>
      </c>
      <c r="P668" t="s">
        <v>45</v>
      </c>
      <c r="Q668">
        <v>25</v>
      </c>
      <c r="R668">
        <v>188.14</v>
      </c>
    </row>
    <row r="669" spans="1:18" x14ac:dyDescent="0.3">
      <c r="A669" t="s">
        <v>1399</v>
      </c>
      <c r="B669" t="s">
        <v>1400</v>
      </c>
      <c r="C669" t="s">
        <v>31</v>
      </c>
      <c r="D669" t="s">
        <v>59</v>
      </c>
      <c r="E669" s="4">
        <v>45289</v>
      </c>
      <c r="F669" t="s">
        <v>22</v>
      </c>
      <c r="G669" t="s">
        <v>33</v>
      </c>
      <c r="H669" t="s">
        <v>34</v>
      </c>
      <c r="I669" t="s">
        <v>25</v>
      </c>
      <c r="J669">
        <v>7</v>
      </c>
      <c r="K669">
        <v>607</v>
      </c>
      <c r="L669">
        <v>3747.54</v>
      </c>
      <c r="M669">
        <v>17737</v>
      </c>
      <c r="N669" t="s">
        <v>61</v>
      </c>
      <c r="O669" t="s">
        <v>62</v>
      </c>
      <c r="P669" t="s">
        <v>52</v>
      </c>
      <c r="Q669">
        <v>23</v>
      </c>
      <c r="R669">
        <v>222.82</v>
      </c>
    </row>
    <row r="670" spans="1:18" x14ac:dyDescent="0.3">
      <c r="A670" t="s">
        <v>1401</v>
      </c>
      <c r="B670" t="s">
        <v>1402</v>
      </c>
      <c r="C670" t="s">
        <v>20</v>
      </c>
      <c r="D670" t="s">
        <v>109</v>
      </c>
      <c r="E670" s="4">
        <v>42227</v>
      </c>
      <c r="F670" t="s">
        <v>65</v>
      </c>
      <c r="G670" t="s">
        <v>102</v>
      </c>
      <c r="H670" t="s">
        <v>55</v>
      </c>
      <c r="I670" t="s">
        <v>76</v>
      </c>
      <c r="J670">
        <v>2</v>
      </c>
      <c r="K670">
        <v>751</v>
      </c>
      <c r="L670">
        <v>3658.14</v>
      </c>
      <c r="M670">
        <v>44254</v>
      </c>
      <c r="N670" t="s">
        <v>36</v>
      </c>
      <c r="O670" t="s">
        <v>27</v>
      </c>
      <c r="P670" t="s">
        <v>28</v>
      </c>
      <c r="Q670">
        <v>43</v>
      </c>
      <c r="R670">
        <v>237.54</v>
      </c>
    </row>
    <row r="671" spans="1:18" x14ac:dyDescent="0.3">
      <c r="A671" t="s">
        <v>1403</v>
      </c>
      <c r="B671" t="s">
        <v>1404</v>
      </c>
      <c r="C671" t="s">
        <v>68</v>
      </c>
      <c r="D671" t="s">
        <v>21</v>
      </c>
      <c r="E671" s="4">
        <v>43022</v>
      </c>
      <c r="F671" t="s">
        <v>48</v>
      </c>
      <c r="G671" t="s">
        <v>83</v>
      </c>
      <c r="H671" t="s">
        <v>55</v>
      </c>
      <c r="I671" t="s">
        <v>34</v>
      </c>
      <c r="J671">
        <v>6</v>
      </c>
      <c r="K671">
        <v>424</v>
      </c>
      <c r="L671">
        <v>308.83999999999997</v>
      </c>
      <c r="M671">
        <v>33447</v>
      </c>
      <c r="N671" t="s">
        <v>36</v>
      </c>
      <c r="O671" t="s">
        <v>37</v>
      </c>
      <c r="P671" t="s">
        <v>51</v>
      </c>
      <c r="Q671">
        <v>38</v>
      </c>
      <c r="R671">
        <v>50.17</v>
      </c>
    </row>
    <row r="672" spans="1:18" x14ac:dyDescent="0.3">
      <c r="A672" t="s">
        <v>1405</v>
      </c>
      <c r="B672" t="s">
        <v>1406</v>
      </c>
      <c r="C672" t="s">
        <v>116</v>
      </c>
      <c r="D672" t="s">
        <v>32</v>
      </c>
      <c r="E672" s="4">
        <v>43887</v>
      </c>
      <c r="F672" t="s">
        <v>43</v>
      </c>
      <c r="G672" t="s">
        <v>33</v>
      </c>
      <c r="H672" t="s">
        <v>75</v>
      </c>
      <c r="I672" t="s">
        <v>34</v>
      </c>
      <c r="J672">
        <v>3</v>
      </c>
      <c r="K672">
        <v>927</v>
      </c>
      <c r="L672">
        <v>4088.13</v>
      </c>
      <c r="M672">
        <v>40468</v>
      </c>
      <c r="N672" t="s">
        <v>36</v>
      </c>
      <c r="O672" t="s">
        <v>27</v>
      </c>
      <c r="P672" t="s">
        <v>45</v>
      </c>
      <c r="Q672">
        <v>32</v>
      </c>
      <c r="R672">
        <v>236.01</v>
      </c>
    </row>
    <row r="673" spans="1:18" x14ac:dyDescent="0.3">
      <c r="A673" t="s">
        <v>1407</v>
      </c>
      <c r="B673" t="s">
        <v>1408</v>
      </c>
      <c r="C673" t="s">
        <v>116</v>
      </c>
      <c r="D673" t="s">
        <v>42</v>
      </c>
      <c r="E673" s="4">
        <v>43793</v>
      </c>
      <c r="F673" t="s">
        <v>22</v>
      </c>
      <c r="G673" t="s">
        <v>44</v>
      </c>
      <c r="H673" t="s">
        <v>34</v>
      </c>
      <c r="I673" t="s">
        <v>25</v>
      </c>
      <c r="J673">
        <v>1</v>
      </c>
      <c r="K673">
        <v>1182</v>
      </c>
      <c r="L673">
        <v>2700.24</v>
      </c>
      <c r="M673">
        <v>32302</v>
      </c>
      <c r="N673" t="s">
        <v>61</v>
      </c>
      <c r="O673" t="s">
        <v>27</v>
      </c>
      <c r="P673" t="s">
        <v>52</v>
      </c>
      <c r="Q673">
        <v>2</v>
      </c>
      <c r="R673">
        <v>48.21</v>
      </c>
    </row>
    <row r="674" spans="1:18" x14ac:dyDescent="0.3">
      <c r="A674" t="s">
        <v>1409</v>
      </c>
      <c r="B674" t="s">
        <v>1410</v>
      </c>
      <c r="C674" t="s">
        <v>116</v>
      </c>
      <c r="D674" t="s">
        <v>42</v>
      </c>
      <c r="E674" s="4">
        <v>45981</v>
      </c>
      <c r="F674" t="s">
        <v>48</v>
      </c>
      <c r="G674" t="s">
        <v>23</v>
      </c>
      <c r="H674" t="s">
        <v>75</v>
      </c>
      <c r="I674" t="s">
        <v>34</v>
      </c>
      <c r="J674">
        <v>5</v>
      </c>
      <c r="K674">
        <v>1214</v>
      </c>
      <c r="L674">
        <v>501.71</v>
      </c>
      <c r="M674">
        <v>35200</v>
      </c>
      <c r="N674" t="s">
        <v>36</v>
      </c>
      <c r="O674" t="s">
        <v>56</v>
      </c>
      <c r="P674" t="s">
        <v>52</v>
      </c>
      <c r="Q674">
        <v>18</v>
      </c>
      <c r="R674">
        <v>157.11000000000001</v>
      </c>
    </row>
    <row r="675" spans="1:18" x14ac:dyDescent="0.3">
      <c r="A675" t="s">
        <v>1411</v>
      </c>
      <c r="B675" t="s">
        <v>1412</v>
      </c>
      <c r="C675" t="s">
        <v>116</v>
      </c>
      <c r="D675" t="s">
        <v>21</v>
      </c>
      <c r="E675" s="4">
        <v>40460</v>
      </c>
      <c r="F675" t="s">
        <v>65</v>
      </c>
      <c r="G675" t="s">
        <v>49</v>
      </c>
      <c r="H675" t="s">
        <v>70</v>
      </c>
      <c r="I675" t="s">
        <v>25</v>
      </c>
      <c r="J675">
        <v>7</v>
      </c>
      <c r="K675">
        <v>949</v>
      </c>
      <c r="L675">
        <v>1496.16</v>
      </c>
      <c r="M675">
        <v>37014</v>
      </c>
      <c r="N675" t="s">
        <v>36</v>
      </c>
      <c r="O675" t="s">
        <v>37</v>
      </c>
      <c r="P675" t="s">
        <v>28</v>
      </c>
      <c r="Q675">
        <v>21</v>
      </c>
      <c r="R675">
        <v>217.66</v>
      </c>
    </row>
    <row r="676" spans="1:18" x14ac:dyDescent="0.3">
      <c r="A676" t="s">
        <v>1413</v>
      </c>
      <c r="B676" t="s">
        <v>1414</v>
      </c>
      <c r="C676" t="s">
        <v>116</v>
      </c>
      <c r="D676" t="s">
        <v>32</v>
      </c>
      <c r="E676" s="4">
        <v>40626</v>
      </c>
      <c r="F676" t="s">
        <v>65</v>
      </c>
      <c r="G676" t="s">
        <v>33</v>
      </c>
      <c r="H676" t="s">
        <v>34</v>
      </c>
      <c r="I676" t="s">
        <v>35</v>
      </c>
      <c r="J676">
        <v>6</v>
      </c>
      <c r="K676">
        <v>1348</v>
      </c>
      <c r="L676">
        <v>4610.05</v>
      </c>
      <c r="M676">
        <v>7888</v>
      </c>
      <c r="N676" t="s">
        <v>26</v>
      </c>
      <c r="O676" t="s">
        <v>27</v>
      </c>
      <c r="P676" t="s">
        <v>25</v>
      </c>
      <c r="Q676">
        <v>10</v>
      </c>
      <c r="R676">
        <v>159.34</v>
      </c>
    </row>
    <row r="677" spans="1:18" x14ac:dyDescent="0.3">
      <c r="A677" t="s">
        <v>1415</v>
      </c>
      <c r="B677" t="s">
        <v>1416</v>
      </c>
      <c r="C677" t="s">
        <v>79</v>
      </c>
      <c r="D677" t="s">
        <v>109</v>
      </c>
      <c r="E677" s="4">
        <v>41673</v>
      </c>
      <c r="F677" t="s">
        <v>65</v>
      </c>
      <c r="G677" t="s">
        <v>83</v>
      </c>
      <c r="H677" t="s">
        <v>50</v>
      </c>
      <c r="I677" t="s">
        <v>92</v>
      </c>
      <c r="J677">
        <v>2</v>
      </c>
      <c r="K677">
        <v>72</v>
      </c>
      <c r="L677">
        <v>3121.76</v>
      </c>
      <c r="M677">
        <v>43208</v>
      </c>
      <c r="N677" t="s">
        <v>61</v>
      </c>
      <c r="O677" t="s">
        <v>56</v>
      </c>
      <c r="P677" t="s">
        <v>52</v>
      </c>
      <c r="Q677">
        <v>48</v>
      </c>
      <c r="R677">
        <v>27.31</v>
      </c>
    </row>
    <row r="678" spans="1:18" x14ac:dyDescent="0.3">
      <c r="A678" t="s">
        <v>1417</v>
      </c>
      <c r="B678" t="s">
        <v>1418</v>
      </c>
      <c r="C678" t="s">
        <v>41</v>
      </c>
      <c r="D678" t="s">
        <v>32</v>
      </c>
      <c r="E678" s="4">
        <v>43529</v>
      </c>
      <c r="F678" t="s">
        <v>22</v>
      </c>
      <c r="G678" t="s">
        <v>44</v>
      </c>
      <c r="H678" t="s">
        <v>34</v>
      </c>
      <c r="I678" t="s">
        <v>92</v>
      </c>
      <c r="J678">
        <v>2</v>
      </c>
      <c r="K678">
        <v>1264</v>
      </c>
      <c r="L678">
        <v>1320.65</v>
      </c>
      <c r="M678">
        <v>40605</v>
      </c>
      <c r="N678" t="s">
        <v>61</v>
      </c>
      <c r="O678" t="s">
        <v>27</v>
      </c>
      <c r="P678" t="s">
        <v>51</v>
      </c>
      <c r="Q678">
        <v>21</v>
      </c>
      <c r="R678">
        <v>26.59</v>
      </c>
    </row>
    <row r="679" spans="1:18" x14ac:dyDescent="0.3">
      <c r="A679" t="s">
        <v>1419</v>
      </c>
      <c r="B679" t="s">
        <v>1420</v>
      </c>
      <c r="C679" t="s">
        <v>41</v>
      </c>
      <c r="D679" t="s">
        <v>42</v>
      </c>
      <c r="E679" s="4">
        <v>42903</v>
      </c>
      <c r="F679" t="s">
        <v>22</v>
      </c>
      <c r="G679" t="s">
        <v>44</v>
      </c>
      <c r="H679" t="s">
        <v>24</v>
      </c>
      <c r="I679" t="s">
        <v>35</v>
      </c>
      <c r="J679">
        <v>0</v>
      </c>
      <c r="K679">
        <v>1073</v>
      </c>
      <c r="L679">
        <v>1336.48</v>
      </c>
      <c r="M679">
        <v>18149</v>
      </c>
      <c r="N679" t="s">
        <v>26</v>
      </c>
      <c r="O679" t="s">
        <v>56</v>
      </c>
      <c r="P679" t="s">
        <v>25</v>
      </c>
      <c r="Q679">
        <v>49</v>
      </c>
      <c r="R679">
        <v>27.47</v>
      </c>
    </row>
    <row r="680" spans="1:18" x14ac:dyDescent="0.3">
      <c r="A680" t="s">
        <v>1421</v>
      </c>
      <c r="B680" t="s">
        <v>1422</v>
      </c>
      <c r="C680" t="s">
        <v>31</v>
      </c>
      <c r="D680" t="s">
        <v>59</v>
      </c>
      <c r="E680" s="4">
        <v>43942</v>
      </c>
      <c r="F680" t="s">
        <v>69</v>
      </c>
      <c r="G680" t="s">
        <v>23</v>
      </c>
      <c r="H680" t="s">
        <v>70</v>
      </c>
      <c r="I680" t="s">
        <v>76</v>
      </c>
      <c r="J680">
        <v>0</v>
      </c>
      <c r="K680">
        <v>1271</v>
      </c>
      <c r="L680">
        <v>2498.0700000000002</v>
      </c>
      <c r="M680">
        <v>16330</v>
      </c>
      <c r="N680" t="s">
        <v>61</v>
      </c>
      <c r="O680" t="s">
        <v>56</v>
      </c>
      <c r="P680" t="s">
        <v>51</v>
      </c>
      <c r="Q680">
        <v>43</v>
      </c>
      <c r="R680">
        <v>183.28</v>
      </c>
    </row>
    <row r="681" spans="1:18" x14ac:dyDescent="0.3">
      <c r="A681" t="s">
        <v>1423</v>
      </c>
      <c r="B681" t="s">
        <v>1424</v>
      </c>
      <c r="C681" t="s">
        <v>79</v>
      </c>
      <c r="D681" t="s">
        <v>82</v>
      </c>
      <c r="E681" s="4">
        <v>43876</v>
      </c>
      <c r="F681" t="s">
        <v>22</v>
      </c>
      <c r="G681" t="s">
        <v>83</v>
      </c>
      <c r="H681" t="s">
        <v>34</v>
      </c>
      <c r="I681" t="s">
        <v>34</v>
      </c>
      <c r="J681">
        <v>4</v>
      </c>
      <c r="K681">
        <v>1163</v>
      </c>
      <c r="L681">
        <v>4421.53</v>
      </c>
      <c r="M681">
        <v>3421</v>
      </c>
      <c r="N681" t="s">
        <v>26</v>
      </c>
      <c r="O681" t="s">
        <v>56</v>
      </c>
      <c r="P681" t="s">
        <v>51</v>
      </c>
      <c r="Q681">
        <v>9</v>
      </c>
      <c r="R681">
        <v>236.04</v>
      </c>
    </row>
    <row r="682" spans="1:18" x14ac:dyDescent="0.3">
      <c r="A682" t="s">
        <v>1425</v>
      </c>
      <c r="B682" t="s">
        <v>1426</v>
      </c>
      <c r="C682" t="s">
        <v>79</v>
      </c>
      <c r="D682" t="s">
        <v>21</v>
      </c>
      <c r="E682" s="4">
        <v>45368</v>
      </c>
      <c r="F682" t="s">
        <v>60</v>
      </c>
      <c r="G682" t="s">
        <v>83</v>
      </c>
      <c r="H682" t="s">
        <v>70</v>
      </c>
      <c r="I682" t="s">
        <v>92</v>
      </c>
      <c r="J682">
        <v>1</v>
      </c>
      <c r="K682">
        <v>146</v>
      </c>
      <c r="L682">
        <v>1629.85</v>
      </c>
      <c r="M682">
        <v>39490</v>
      </c>
      <c r="N682" t="s">
        <v>36</v>
      </c>
      <c r="O682" t="s">
        <v>37</v>
      </c>
      <c r="P682" t="s">
        <v>38</v>
      </c>
      <c r="Q682">
        <v>47</v>
      </c>
      <c r="R682">
        <v>202.27</v>
      </c>
    </row>
    <row r="683" spans="1:18" x14ac:dyDescent="0.3">
      <c r="A683" t="s">
        <v>1427</v>
      </c>
      <c r="B683" t="s">
        <v>1428</v>
      </c>
      <c r="C683" t="s">
        <v>68</v>
      </c>
      <c r="D683" t="s">
        <v>59</v>
      </c>
      <c r="E683" s="4">
        <v>40982</v>
      </c>
      <c r="F683" t="s">
        <v>22</v>
      </c>
      <c r="G683" t="s">
        <v>44</v>
      </c>
      <c r="H683" t="s">
        <v>34</v>
      </c>
      <c r="I683" t="s">
        <v>51</v>
      </c>
      <c r="J683">
        <v>4</v>
      </c>
      <c r="K683">
        <v>112</v>
      </c>
      <c r="L683">
        <v>2087.19</v>
      </c>
      <c r="M683">
        <v>16257</v>
      </c>
      <c r="N683" t="s">
        <v>61</v>
      </c>
      <c r="O683" t="s">
        <v>56</v>
      </c>
      <c r="P683" t="s">
        <v>25</v>
      </c>
      <c r="Q683">
        <v>9</v>
      </c>
      <c r="R683">
        <v>169.47</v>
      </c>
    </row>
    <row r="684" spans="1:18" x14ac:dyDescent="0.3">
      <c r="A684" t="s">
        <v>1429</v>
      </c>
      <c r="B684" t="s">
        <v>1430</v>
      </c>
      <c r="C684" t="s">
        <v>79</v>
      </c>
      <c r="D684" t="s">
        <v>42</v>
      </c>
      <c r="E684" s="4">
        <v>42909</v>
      </c>
      <c r="F684" t="s">
        <v>48</v>
      </c>
      <c r="G684" t="s">
        <v>49</v>
      </c>
      <c r="H684" t="s">
        <v>34</v>
      </c>
      <c r="I684" t="s">
        <v>92</v>
      </c>
      <c r="J684">
        <v>5</v>
      </c>
      <c r="K684">
        <v>136</v>
      </c>
      <c r="L684">
        <v>2854.37</v>
      </c>
      <c r="M684">
        <v>38866</v>
      </c>
      <c r="N684" t="s">
        <v>61</v>
      </c>
      <c r="O684" t="s">
        <v>27</v>
      </c>
      <c r="P684" t="s">
        <v>28</v>
      </c>
      <c r="Q684">
        <v>44</v>
      </c>
      <c r="R684">
        <v>227.32</v>
      </c>
    </row>
    <row r="685" spans="1:18" x14ac:dyDescent="0.3">
      <c r="A685" t="s">
        <v>1431</v>
      </c>
      <c r="B685" t="s">
        <v>1432</v>
      </c>
      <c r="C685" t="s">
        <v>41</v>
      </c>
      <c r="D685" t="s">
        <v>42</v>
      </c>
      <c r="E685" s="4">
        <v>44461</v>
      </c>
      <c r="F685" t="s">
        <v>22</v>
      </c>
      <c r="G685" t="s">
        <v>83</v>
      </c>
      <c r="H685" t="s">
        <v>70</v>
      </c>
      <c r="I685" t="s">
        <v>35</v>
      </c>
      <c r="J685">
        <v>2</v>
      </c>
      <c r="K685">
        <v>1355</v>
      </c>
      <c r="L685">
        <v>3603.52</v>
      </c>
      <c r="M685">
        <v>48268</v>
      </c>
      <c r="N685" t="s">
        <v>36</v>
      </c>
      <c r="O685" t="s">
        <v>37</v>
      </c>
      <c r="P685" t="s">
        <v>51</v>
      </c>
      <c r="Q685">
        <v>25</v>
      </c>
      <c r="R685">
        <v>143.91999999999999</v>
      </c>
    </row>
    <row r="686" spans="1:18" x14ac:dyDescent="0.3">
      <c r="A686" t="s">
        <v>1433</v>
      </c>
      <c r="B686" t="s">
        <v>1434</v>
      </c>
      <c r="C686" t="s">
        <v>31</v>
      </c>
      <c r="D686" t="s">
        <v>59</v>
      </c>
      <c r="E686" s="4">
        <v>40703</v>
      </c>
      <c r="F686" t="s">
        <v>48</v>
      </c>
      <c r="G686" t="s">
        <v>44</v>
      </c>
      <c r="H686" t="s">
        <v>24</v>
      </c>
      <c r="I686" t="s">
        <v>51</v>
      </c>
      <c r="J686">
        <v>2</v>
      </c>
      <c r="K686">
        <v>519</v>
      </c>
      <c r="L686">
        <v>2938.71</v>
      </c>
      <c r="M686">
        <v>23404</v>
      </c>
      <c r="N686" t="s">
        <v>26</v>
      </c>
      <c r="O686" t="s">
        <v>62</v>
      </c>
      <c r="P686" t="s">
        <v>28</v>
      </c>
      <c r="Q686">
        <v>16</v>
      </c>
      <c r="R686">
        <v>220.45</v>
      </c>
    </row>
    <row r="687" spans="1:18" x14ac:dyDescent="0.3">
      <c r="A687" t="s">
        <v>1435</v>
      </c>
      <c r="B687" t="s">
        <v>1436</v>
      </c>
      <c r="C687" t="s">
        <v>41</v>
      </c>
      <c r="D687" t="s">
        <v>109</v>
      </c>
      <c r="E687" s="4">
        <v>40221</v>
      </c>
      <c r="F687" t="s">
        <v>48</v>
      </c>
      <c r="G687" t="s">
        <v>102</v>
      </c>
      <c r="H687" t="s">
        <v>55</v>
      </c>
      <c r="I687" t="s">
        <v>25</v>
      </c>
      <c r="J687">
        <v>1</v>
      </c>
      <c r="K687">
        <v>1244</v>
      </c>
      <c r="L687">
        <v>1989.51</v>
      </c>
      <c r="M687">
        <v>23739</v>
      </c>
      <c r="N687" t="s">
        <v>26</v>
      </c>
      <c r="O687" t="s">
        <v>27</v>
      </c>
      <c r="P687" t="s">
        <v>51</v>
      </c>
      <c r="Q687">
        <v>17</v>
      </c>
      <c r="R687">
        <v>170.52</v>
      </c>
    </row>
    <row r="688" spans="1:18" x14ac:dyDescent="0.3">
      <c r="A688" t="s">
        <v>1437</v>
      </c>
      <c r="B688" t="s">
        <v>1438</v>
      </c>
      <c r="C688" t="s">
        <v>31</v>
      </c>
      <c r="D688" t="s">
        <v>42</v>
      </c>
      <c r="E688" s="4">
        <v>45126</v>
      </c>
      <c r="F688" t="s">
        <v>65</v>
      </c>
      <c r="G688" t="s">
        <v>23</v>
      </c>
      <c r="H688" t="s">
        <v>34</v>
      </c>
      <c r="I688" t="s">
        <v>92</v>
      </c>
      <c r="J688">
        <v>3</v>
      </c>
      <c r="K688">
        <v>528</v>
      </c>
      <c r="L688">
        <v>4684.82</v>
      </c>
      <c r="M688">
        <v>9158</v>
      </c>
      <c r="N688" t="s">
        <v>26</v>
      </c>
      <c r="O688" t="s">
        <v>27</v>
      </c>
      <c r="P688" t="s">
        <v>45</v>
      </c>
      <c r="Q688">
        <v>43</v>
      </c>
      <c r="R688">
        <v>245.14</v>
      </c>
    </row>
    <row r="689" spans="1:18" x14ac:dyDescent="0.3">
      <c r="A689" t="s">
        <v>1439</v>
      </c>
      <c r="B689" t="s">
        <v>1440</v>
      </c>
      <c r="C689" t="s">
        <v>79</v>
      </c>
      <c r="D689" t="s">
        <v>42</v>
      </c>
      <c r="E689" s="4">
        <v>45778</v>
      </c>
      <c r="F689" t="s">
        <v>60</v>
      </c>
      <c r="G689" t="s">
        <v>44</v>
      </c>
      <c r="H689" t="s">
        <v>34</v>
      </c>
      <c r="I689" t="s">
        <v>25</v>
      </c>
      <c r="J689">
        <v>5</v>
      </c>
      <c r="K689">
        <v>467</v>
      </c>
      <c r="L689">
        <v>1149.68</v>
      </c>
      <c r="M689">
        <v>12433</v>
      </c>
      <c r="N689" t="s">
        <v>26</v>
      </c>
      <c r="O689" t="s">
        <v>27</v>
      </c>
      <c r="P689" t="s">
        <v>25</v>
      </c>
      <c r="Q689">
        <v>34</v>
      </c>
      <c r="R689">
        <v>18.829999999999998</v>
      </c>
    </row>
    <row r="690" spans="1:18" x14ac:dyDescent="0.3">
      <c r="A690" t="s">
        <v>1441</v>
      </c>
      <c r="B690" t="s">
        <v>1442</v>
      </c>
      <c r="C690" t="s">
        <v>68</v>
      </c>
      <c r="D690" t="s">
        <v>82</v>
      </c>
      <c r="E690" s="4">
        <v>44327</v>
      </c>
      <c r="F690" t="s">
        <v>60</v>
      </c>
      <c r="G690" t="s">
        <v>23</v>
      </c>
      <c r="H690" t="s">
        <v>24</v>
      </c>
      <c r="I690" t="s">
        <v>34</v>
      </c>
      <c r="J690">
        <v>4</v>
      </c>
      <c r="K690">
        <v>849</v>
      </c>
      <c r="L690">
        <v>1232.02</v>
      </c>
      <c r="M690">
        <v>49290</v>
      </c>
      <c r="N690" t="s">
        <v>36</v>
      </c>
      <c r="O690" t="s">
        <v>62</v>
      </c>
      <c r="P690" t="s">
        <v>38</v>
      </c>
      <c r="Q690">
        <v>10</v>
      </c>
      <c r="R690">
        <v>113.35</v>
      </c>
    </row>
    <row r="691" spans="1:18" x14ac:dyDescent="0.3">
      <c r="A691" t="s">
        <v>1443</v>
      </c>
      <c r="B691" t="s">
        <v>1444</v>
      </c>
      <c r="C691" t="s">
        <v>116</v>
      </c>
      <c r="D691" t="s">
        <v>21</v>
      </c>
      <c r="E691" s="4">
        <v>41890</v>
      </c>
      <c r="F691" t="s">
        <v>43</v>
      </c>
      <c r="G691" t="s">
        <v>49</v>
      </c>
      <c r="H691" t="s">
        <v>70</v>
      </c>
      <c r="I691" t="s">
        <v>35</v>
      </c>
      <c r="J691">
        <v>6</v>
      </c>
      <c r="K691">
        <v>251</v>
      </c>
      <c r="L691">
        <v>2006.69</v>
      </c>
      <c r="M691">
        <v>22292</v>
      </c>
      <c r="N691" t="s">
        <v>61</v>
      </c>
      <c r="O691" t="s">
        <v>37</v>
      </c>
      <c r="P691" t="s">
        <v>45</v>
      </c>
      <c r="Q691">
        <v>31</v>
      </c>
      <c r="R691">
        <v>42.85</v>
      </c>
    </row>
    <row r="692" spans="1:18" x14ac:dyDescent="0.3">
      <c r="A692" t="s">
        <v>1445</v>
      </c>
      <c r="B692" t="s">
        <v>1446</v>
      </c>
      <c r="C692" t="s">
        <v>116</v>
      </c>
      <c r="D692" t="s">
        <v>109</v>
      </c>
      <c r="E692" s="4">
        <v>44280</v>
      </c>
      <c r="F692" t="s">
        <v>65</v>
      </c>
      <c r="G692" t="s">
        <v>83</v>
      </c>
      <c r="H692" t="s">
        <v>75</v>
      </c>
      <c r="I692" t="s">
        <v>25</v>
      </c>
      <c r="J692">
        <v>5</v>
      </c>
      <c r="K692">
        <v>989</v>
      </c>
      <c r="L692">
        <v>4302.04</v>
      </c>
      <c r="M692">
        <v>11599</v>
      </c>
      <c r="N692" t="s">
        <v>26</v>
      </c>
      <c r="O692" t="s">
        <v>37</v>
      </c>
      <c r="P692" t="s">
        <v>38</v>
      </c>
      <c r="Q692">
        <v>29</v>
      </c>
      <c r="R692">
        <v>94.21</v>
      </c>
    </row>
    <row r="693" spans="1:18" x14ac:dyDescent="0.3">
      <c r="A693" t="s">
        <v>1447</v>
      </c>
      <c r="B693" t="s">
        <v>1448</v>
      </c>
      <c r="C693" t="s">
        <v>20</v>
      </c>
      <c r="D693" t="s">
        <v>21</v>
      </c>
      <c r="E693" s="4">
        <v>41933</v>
      </c>
      <c r="F693" t="s">
        <v>48</v>
      </c>
      <c r="G693" t="s">
        <v>83</v>
      </c>
      <c r="H693" t="s">
        <v>24</v>
      </c>
      <c r="I693" t="s">
        <v>76</v>
      </c>
      <c r="J693">
        <v>2</v>
      </c>
      <c r="K693">
        <v>794</v>
      </c>
      <c r="L693">
        <v>871.46</v>
      </c>
      <c r="M693">
        <v>27889</v>
      </c>
      <c r="N693" t="s">
        <v>26</v>
      </c>
      <c r="O693" t="s">
        <v>56</v>
      </c>
      <c r="P693" t="s">
        <v>38</v>
      </c>
      <c r="Q693">
        <v>33</v>
      </c>
      <c r="R693">
        <v>59.53</v>
      </c>
    </row>
    <row r="694" spans="1:18" x14ac:dyDescent="0.3">
      <c r="A694" t="s">
        <v>1449</v>
      </c>
      <c r="B694" t="s">
        <v>1450</v>
      </c>
      <c r="C694" t="s">
        <v>41</v>
      </c>
      <c r="D694" t="s">
        <v>82</v>
      </c>
      <c r="E694" s="4">
        <v>41706</v>
      </c>
      <c r="F694" t="s">
        <v>65</v>
      </c>
      <c r="G694" t="s">
        <v>83</v>
      </c>
      <c r="H694" t="s">
        <v>50</v>
      </c>
      <c r="I694" t="s">
        <v>92</v>
      </c>
      <c r="J694">
        <v>2</v>
      </c>
      <c r="K694">
        <v>1431</v>
      </c>
      <c r="L694">
        <v>3818.12</v>
      </c>
      <c r="M694">
        <v>39895</v>
      </c>
      <c r="N694" t="s">
        <v>61</v>
      </c>
      <c r="O694" t="s">
        <v>56</v>
      </c>
      <c r="P694" t="s">
        <v>38</v>
      </c>
      <c r="Q694">
        <v>46</v>
      </c>
      <c r="R694">
        <v>139.99</v>
      </c>
    </row>
    <row r="695" spans="1:18" x14ac:dyDescent="0.3">
      <c r="A695" t="s">
        <v>1451</v>
      </c>
      <c r="B695" t="s">
        <v>1452</v>
      </c>
      <c r="C695" t="s">
        <v>79</v>
      </c>
      <c r="D695" t="s">
        <v>59</v>
      </c>
      <c r="E695" s="4">
        <v>40446</v>
      </c>
      <c r="F695" t="s">
        <v>60</v>
      </c>
      <c r="G695" t="s">
        <v>33</v>
      </c>
      <c r="H695" t="s">
        <v>34</v>
      </c>
      <c r="I695" t="s">
        <v>34</v>
      </c>
      <c r="J695">
        <v>5</v>
      </c>
      <c r="K695">
        <v>571</v>
      </c>
      <c r="L695">
        <v>2280.79</v>
      </c>
      <c r="M695">
        <v>35252</v>
      </c>
      <c r="N695" t="s">
        <v>36</v>
      </c>
      <c r="O695" t="s">
        <v>62</v>
      </c>
      <c r="P695" t="s">
        <v>38</v>
      </c>
      <c r="Q695">
        <v>10</v>
      </c>
      <c r="R695">
        <v>120.5</v>
      </c>
    </row>
    <row r="696" spans="1:18" x14ac:dyDescent="0.3">
      <c r="A696" t="s">
        <v>1453</v>
      </c>
      <c r="B696" t="s">
        <v>1454</v>
      </c>
      <c r="C696" t="s">
        <v>20</v>
      </c>
      <c r="D696" t="s">
        <v>59</v>
      </c>
      <c r="E696" s="4">
        <v>43710</v>
      </c>
      <c r="F696" t="s">
        <v>48</v>
      </c>
      <c r="G696" t="s">
        <v>49</v>
      </c>
      <c r="H696" t="s">
        <v>75</v>
      </c>
      <c r="I696" t="s">
        <v>34</v>
      </c>
      <c r="J696">
        <v>7</v>
      </c>
      <c r="K696">
        <v>671</v>
      </c>
      <c r="L696">
        <v>2601.9</v>
      </c>
      <c r="M696">
        <v>34944</v>
      </c>
      <c r="N696" t="s">
        <v>61</v>
      </c>
      <c r="O696" t="s">
        <v>37</v>
      </c>
      <c r="P696" t="s">
        <v>51</v>
      </c>
      <c r="Q696">
        <v>8</v>
      </c>
      <c r="R696">
        <v>170.7</v>
      </c>
    </row>
    <row r="697" spans="1:18" x14ac:dyDescent="0.3">
      <c r="A697" t="s">
        <v>1455</v>
      </c>
      <c r="B697" t="s">
        <v>1456</v>
      </c>
      <c r="C697" t="s">
        <v>116</v>
      </c>
      <c r="D697" t="s">
        <v>21</v>
      </c>
      <c r="E697" s="4">
        <v>45680</v>
      </c>
      <c r="F697" t="s">
        <v>43</v>
      </c>
      <c r="G697" t="s">
        <v>83</v>
      </c>
      <c r="H697" t="s">
        <v>24</v>
      </c>
      <c r="I697" t="s">
        <v>34</v>
      </c>
      <c r="J697">
        <v>4</v>
      </c>
      <c r="K697">
        <v>1279</v>
      </c>
      <c r="L697">
        <v>1680.32</v>
      </c>
      <c r="M697">
        <v>3601</v>
      </c>
      <c r="N697" t="s">
        <v>26</v>
      </c>
      <c r="O697" t="s">
        <v>56</v>
      </c>
      <c r="P697" t="s">
        <v>28</v>
      </c>
      <c r="Q697">
        <v>42</v>
      </c>
      <c r="R697">
        <v>207.64</v>
      </c>
    </row>
    <row r="698" spans="1:18" x14ac:dyDescent="0.3">
      <c r="A698" t="s">
        <v>1457</v>
      </c>
      <c r="B698" t="s">
        <v>1458</v>
      </c>
      <c r="C698" t="s">
        <v>68</v>
      </c>
      <c r="D698" t="s">
        <v>109</v>
      </c>
      <c r="E698" s="4">
        <v>45257</v>
      </c>
      <c r="F698" t="s">
        <v>48</v>
      </c>
      <c r="G698" t="s">
        <v>102</v>
      </c>
      <c r="H698" t="s">
        <v>70</v>
      </c>
      <c r="I698" t="s">
        <v>34</v>
      </c>
      <c r="J698">
        <v>6</v>
      </c>
      <c r="K698">
        <v>1135</v>
      </c>
      <c r="L698">
        <v>584.54</v>
      </c>
      <c r="M698">
        <v>13676</v>
      </c>
      <c r="N698" t="s">
        <v>36</v>
      </c>
      <c r="O698" t="s">
        <v>62</v>
      </c>
      <c r="P698" t="s">
        <v>51</v>
      </c>
      <c r="Q698">
        <v>36</v>
      </c>
      <c r="R698">
        <v>128.66999999999999</v>
      </c>
    </row>
    <row r="699" spans="1:18" x14ac:dyDescent="0.3">
      <c r="A699" t="s">
        <v>1459</v>
      </c>
      <c r="B699" t="s">
        <v>1460</v>
      </c>
      <c r="C699" t="s">
        <v>41</v>
      </c>
      <c r="D699" t="s">
        <v>42</v>
      </c>
      <c r="E699" s="4">
        <v>45698</v>
      </c>
      <c r="F699" t="s">
        <v>22</v>
      </c>
      <c r="G699" t="s">
        <v>23</v>
      </c>
      <c r="H699" t="s">
        <v>24</v>
      </c>
      <c r="I699" t="s">
        <v>76</v>
      </c>
      <c r="J699">
        <v>1</v>
      </c>
      <c r="K699">
        <v>702</v>
      </c>
      <c r="L699">
        <v>4118.47</v>
      </c>
      <c r="M699">
        <v>24542</v>
      </c>
      <c r="N699" t="s">
        <v>36</v>
      </c>
      <c r="O699" t="s">
        <v>56</v>
      </c>
      <c r="P699" t="s">
        <v>45</v>
      </c>
      <c r="Q699">
        <v>20</v>
      </c>
      <c r="R699">
        <v>154.63999999999999</v>
      </c>
    </row>
    <row r="700" spans="1:18" x14ac:dyDescent="0.3">
      <c r="A700" t="s">
        <v>1461</v>
      </c>
      <c r="B700" t="s">
        <v>1462</v>
      </c>
      <c r="C700" t="s">
        <v>20</v>
      </c>
      <c r="D700" t="s">
        <v>59</v>
      </c>
      <c r="E700" s="4">
        <v>45795</v>
      </c>
      <c r="F700" t="s">
        <v>48</v>
      </c>
      <c r="G700" t="s">
        <v>44</v>
      </c>
      <c r="H700" t="s">
        <v>70</v>
      </c>
      <c r="I700" t="s">
        <v>34</v>
      </c>
      <c r="J700">
        <v>2</v>
      </c>
      <c r="K700">
        <v>330</v>
      </c>
      <c r="L700">
        <v>3315.76</v>
      </c>
      <c r="M700">
        <v>28506</v>
      </c>
      <c r="N700" t="s">
        <v>36</v>
      </c>
      <c r="O700" t="s">
        <v>56</v>
      </c>
      <c r="P700" t="s">
        <v>52</v>
      </c>
      <c r="Q700">
        <v>1</v>
      </c>
      <c r="R700">
        <v>83.48</v>
      </c>
    </row>
    <row r="701" spans="1:18" x14ac:dyDescent="0.3">
      <c r="A701" t="s">
        <v>1463</v>
      </c>
      <c r="B701" t="s">
        <v>1464</v>
      </c>
      <c r="C701" t="s">
        <v>116</v>
      </c>
      <c r="D701" t="s">
        <v>109</v>
      </c>
      <c r="E701" s="4">
        <v>43414</v>
      </c>
      <c r="F701" t="s">
        <v>48</v>
      </c>
      <c r="G701" t="s">
        <v>83</v>
      </c>
      <c r="H701" t="s">
        <v>50</v>
      </c>
      <c r="I701" t="s">
        <v>25</v>
      </c>
      <c r="J701">
        <v>6</v>
      </c>
      <c r="K701">
        <v>288</v>
      </c>
      <c r="L701">
        <v>2093.52</v>
      </c>
      <c r="M701">
        <v>27080</v>
      </c>
      <c r="N701" t="s">
        <v>26</v>
      </c>
      <c r="O701" t="s">
        <v>27</v>
      </c>
      <c r="P701" t="s">
        <v>52</v>
      </c>
      <c r="Q701">
        <v>15</v>
      </c>
      <c r="R701">
        <v>21.23</v>
      </c>
    </row>
    <row r="702" spans="1:18" x14ac:dyDescent="0.3">
      <c r="A702" t="s">
        <v>1465</v>
      </c>
      <c r="B702" t="s">
        <v>1466</v>
      </c>
      <c r="C702" t="s">
        <v>68</v>
      </c>
      <c r="D702" t="s">
        <v>21</v>
      </c>
      <c r="E702" s="4">
        <v>41737</v>
      </c>
      <c r="F702" t="s">
        <v>60</v>
      </c>
      <c r="G702" t="s">
        <v>23</v>
      </c>
      <c r="H702" t="s">
        <v>50</v>
      </c>
      <c r="I702" t="s">
        <v>25</v>
      </c>
      <c r="J702">
        <v>5</v>
      </c>
      <c r="K702">
        <v>1388</v>
      </c>
      <c r="L702">
        <v>2169.41</v>
      </c>
      <c r="M702">
        <v>34760</v>
      </c>
      <c r="N702" t="s">
        <v>61</v>
      </c>
      <c r="O702" t="s">
        <v>62</v>
      </c>
      <c r="P702" t="s">
        <v>25</v>
      </c>
      <c r="Q702">
        <v>10</v>
      </c>
      <c r="R702">
        <v>178.04</v>
      </c>
    </row>
    <row r="703" spans="1:18" x14ac:dyDescent="0.3">
      <c r="A703" t="s">
        <v>1467</v>
      </c>
      <c r="B703" t="s">
        <v>1468</v>
      </c>
      <c r="C703" t="s">
        <v>116</v>
      </c>
      <c r="D703" t="s">
        <v>32</v>
      </c>
      <c r="E703" s="4">
        <v>42384</v>
      </c>
      <c r="F703" t="s">
        <v>69</v>
      </c>
      <c r="G703" t="s">
        <v>83</v>
      </c>
      <c r="H703" t="s">
        <v>34</v>
      </c>
      <c r="I703" t="s">
        <v>25</v>
      </c>
      <c r="J703">
        <v>3</v>
      </c>
      <c r="K703">
        <v>90</v>
      </c>
      <c r="L703">
        <v>4851.2700000000004</v>
      </c>
      <c r="M703">
        <v>11393</v>
      </c>
      <c r="N703" t="s">
        <v>36</v>
      </c>
      <c r="O703" t="s">
        <v>37</v>
      </c>
      <c r="P703" t="s">
        <v>52</v>
      </c>
      <c r="Q703">
        <v>18</v>
      </c>
      <c r="R703">
        <v>9.9</v>
      </c>
    </row>
    <row r="704" spans="1:18" x14ac:dyDescent="0.3">
      <c r="A704" t="s">
        <v>1469</v>
      </c>
      <c r="B704" t="s">
        <v>1470</v>
      </c>
      <c r="C704" t="s">
        <v>97</v>
      </c>
      <c r="D704" t="s">
        <v>42</v>
      </c>
      <c r="E704" s="4">
        <v>42098</v>
      </c>
      <c r="F704" t="s">
        <v>65</v>
      </c>
      <c r="G704" t="s">
        <v>83</v>
      </c>
      <c r="H704" t="s">
        <v>55</v>
      </c>
      <c r="I704" t="s">
        <v>51</v>
      </c>
      <c r="J704">
        <v>6</v>
      </c>
      <c r="K704">
        <v>129</v>
      </c>
      <c r="L704">
        <v>1615.55</v>
      </c>
      <c r="M704">
        <v>46571</v>
      </c>
      <c r="N704" t="s">
        <v>36</v>
      </c>
      <c r="O704" t="s">
        <v>56</v>
      </c>
      <c r="P704" t="s">
        <v>25</v>
      </c>
      <c r="Q704">
        <v>25</v>
      </c>
      <c r="R704">
        <v>154.66999999999999</v>
      </c>
    </row>
    <row r="705" spans="1:18" x14ac:dyDescent="0.3">
      <c r="A705" t="s">
        <v>1471</v>
      </c>
      <c r="B705" t="s">
        <v>1472</v>
      </c>
      <c r="C705" t="s">
        <v>31</v>
      </c>
      <c r="D705" t="s">
        <v>42</v>
      </c>
      <c r="E705" s="4">
        <v>40473</v>
      </c>
      <c r="F705" t="s">
        <v>22</v>
      </c>
      <c r="G705" t="s">
        <v>49</v>
      </c>
      <c r="H705" t="s">
        <v>70</v>
      </c>
      <c r="I705" t="s">
        <v>51</v>
      </c>
      <c r="J705">
        <v>0</v>
      </c>
      <c r="K705">
        <v>1270</v>
      </c>
      <c r="L705">
        <v>1547.18</v>
      </c>
      <c r="M705">
        <v>47072</v>
      </c>
      <c r="N705" t="s">
        <v>61</v>
      </c>
      <c r="O705" t="s">
        <v>56</v>
      </c>
      <c r="P705" t="s">
        <v>38</v>
      </c>
      <c r="Q705">
        <v>45</v>
      </c>
      <c r="R705">
        <v>54.87</v>
      </c>
    </row>
    <row r="706" spans="1:18" x14ac:dyDescent="0.3">
      <c r="A706" t="s">
        <v>1473</v>
      </c>
      <c r="B706" t="s">
        <v>1474</v>
      </c>
      <c r="C706" t="s">
        <v>20</v>
      </c>
      <c r="D706" t="s">
        <v>109</v>
      </c>
      <c r="E706" s="4">
        <v>44052</v>
      </c>
      <c r="F706" t="s">
        <v>60</v>
      </c>
      <c r="G706" t="s">
        <v>83</v>
      </c>
      <c r="H706" t="s">
        <v>55</v>
      </c>
      <c r="I706" t="s">
        <v>25</v>
      </c>
      <c r="J706">
        <v>1</v>
      </c>
      <c r="K706">
        <v>228</v>
      </c>
      <c r="L706">
        <v>3381.19</v>
      </c>
      <c r="M706">
        <v>30983</v>
      </c>
      <c r="N706" t="s">
        <v>36</v>
      </c>
      <c r="O706" t="s">
        <v>62</v>
      </c>
      <c r="P706" t="s">
        <v>51</v>
      </c>
      <c r="Q706">
        <v>49</v>
      </c>
      <c r="R706">
        <v>57.1</v>
      </c>
    </row>
    <row r="707" spans="1:18" x14ac:dyDescent="0.3">
      <c r="A707" t="s">
        <v>1475</v>
      </c>
      <c r="B707" t="s">
        <v>1476</v>
      </c>
      <c r="C707" t="s">
        <v>97</v>
      </c>
      <c r="D707" t="s">
        <v>109</v>
      </c>
      <c r="E707" s="4">
        <v>44665</v>
      </c>
      <c r="F707" t="s">
        <v>43</v>
      </c>
      <c r="G707" t="s">
        <v>33</v>
      </c>
      <c r="H707" t="s">
        <v>70</v>
      </c>
      <c r="I707" t="s">
        <v>92</v>
      </c>
      <c r="J707">
        <v>2</v>
      </c>
      <c r="K707">
        <v>1045</v>
      </c>
      <c r="L707">
        <v>697.89</v>
      </c>
      <c r="M707">
        <v>32291</v>
      </c>
      <c r="N707" t="s">
        <v>26</v>
      </c>
      <c r="O707" t="s">
        <v>62</v>
      </c>
      <c r="P707" t="s">
        <v>28</v>
      </c>
      <c r="Q707">
        <v>34</v>
      </c>
      <c r="R707">
        <v>25.68</v>
      </c>
    </row>
    <row r="708" spans="1:18" x14ac:dyDescent="0.3">
      <c r="A708" t="s">
        <v>1477</v>
      </c>
      <c r="B708" t="s">
        <v>1478</v>
      </c>
      <c r="C708" t="s">
        <v>68</v>
      </c>
      <c r="D708" t="s">
        <v>42</v>
      </c>
      <c r="E708" s="4">
        <v>45111</v>
      </c>
      <c r="F708" t="s">
        <v>48</v>
      </c>
      <c r="G708" t="s">
        <v>23</v>
      </c>
      <c r="H708" t="s">
        <v>75</v>
      </c>
      <c r="I708" t="s">
        <v>92</v>
      </c>
      <c r="J708">
        <v>7</v>
      </c>
      <c r="K708">
        <v>235</v>
      </c>
      <c r="L708">
        <v>2046.5</v>
      </c>
      <c r="M708">
        <v>3754</v>
      </c>
      <c r="N708" t="s">
        <v>26</v>
      </c>
      <c r="O708" t="s">
        <v>62</v>
      </c>
      <c r="P708" t="s">
        <v>28</v>
      </c>
      <c r="Q708">
        <v>25</v>
      </c>
      <c r="R708">
        <v>0.97</v>
      </c>
    </row>
    <row r="709" spans="1:18" x14ac:dyDescent="0.3">
      <c r="A709" t="s">
        <v>1479</v>
      </c>
      <c r="B709" t="s">
        <v>1480</v>
      </c>
      <c r="C709" t="s">
        <v>41</v>
      </c>
      <c r="D709" t="s">
        <v>42</v>
      </c>
      <c r="E709" s="4">
        <v>44663</v>
      </c>
      <c r="F709" t="s">
        <v>22</v>
      </c>
      <c r="G709" t="s">
        <v>102</v>
      </c>
      <c r="H709" t="s">
        <v>70</v>
      </c>
      <c r="I709" t="s">
        <v>76</v>
      </c>
      <c r="J709">
        <v>6</v>
      </c>
      <c r="K709">
        <v>1064</v>
      </c>
      <c r="L709">
        <v>564.02</v>
      </c>
      <c r="M709">
        <v>37626</v>
      </c>
      <c r="N709" t="s">
        <v>26</v>
      </c>
      <c r="O709" t="s">
        <v>37</v>
      </c>
      <c r="P709" t="s">
        <v>45</v>
      </c>
      <c r="Q709">
        <v>49</v>
      </c>
      <c r="R709">
        <v>46.37</v>
      </c>
    </row>
    <row r="710" spans="1:18" x14ac:dyDescent="0.3">
      <c r="A710" t="s">
        <v>1481</v>
      </c>
      <c r="B710" t="s">
        <v>1482</v>
      </c>
      <c r="C710" t="s">
        <v>20</v>
      </c>
      <c r="D710" t="s">
        <v>82</v>
      </c>
      <c r="E710" s="4">
        <v>43223</v>
      </c>
      <c r="F710" t="s">
        <v>43</v>
      </c>
      <c r="G710" t="s">
        <v>23</v>
      </c>
      <c r="H710" t="s">
        <v>55</v>
      </c>
      <c r="I710" t="s">
        <v>25</v>
      </c>
      <c r="J710">
        <v>4</v>
      </c>
      <c r="K710">
        <v>1135</v>
      </c>
      <c r="L710">
        <v>4821.6899999999996</v>
      </c>
      <c r="M710">
        <v>3684</v>
      </c>
      <c r="N710" t="s">
        <v>26</v>
      </c>
      <c r="O710" t="s">
        <v>62</v>
      </c>
      <c r="P710" t="s">
        <v>25</v>
      </c>
      <c r="Q710">
        <v>42</v>
      </c>
      <c r="R710">
        <v>15.73</v>
      </c>
    </row>
    <row r="711" spans="1:18" x14ac:dyDescent="0.3">
      <c r="A711" t="s">
        <v>1483</v>
      </c>
      <c r="B711" t="s">
        <v>1484</v>
      </c>
      <c r="C711" t="s">
        <v>31</v>
      </c>
      <c r="D711" t="s">
        <v>42</v>
      </c>
      <c r="E711" s="4">
        <v>42826</v>
      </c>
      <c r="F711" t="s">
        <v>60</v>
      </c>
      <c r="G711" t="s">
        <v>44</v>
      </c>
      <c r="H711" t="s">
        <v>34</v>
      </c>
      <c r="I711" t="s">
        <v>92</v>
      </c>
      <c r="J711">
        <v>5</v>
      </c>
      <c r="K711">
        <v>815</v>
      </c>
      <c r="L711">
        <v>4516.6400000000003</v>
      </c>
      <c r="M711">
        <v>5024</v>
      </c>
      <c r="N711" t="s">
        <v>36</v>
      </c>
      <c r="O711" t="s">
        <v>37</v>
      </c>
      <c r="P711" t="s">
        <v>45</v>
      </c>
      <c r="Q711">
        <v>46</v>
      </c>
      <c r="R711">
        <v>79.88</v>
      </c>
    </row>
    <row r="712" spans="1:18" x14ac:dyDescent="0.3">
      <c r="A712" t="s">
        <v>1485</v>
      </c>
      <c r="B712" t="s">
        <v>1486</v>
      </c>
      <c r="C712" t="s">
        <v>41</v>
      </c>
      <c r="D712" t="s">
        <v>109</v>
      </c>
      <c r="E712" s="4">
        <v>44859</v>
      </c>
      <c r="F712" t="s">
        <v>65</v>
      </c>
      <c r="G712" t="s">
        <v>44</v>
      </c>
      <c r="H712" t="s">
        <v>75</v>
      </c>
      <c r="I712" t="s">
        <v>35</v>
      </c>
      <c r="J712">
        <v>5</v>
      </c>
      <c r="K712">
        <v>1084</v>
      </c>
      <c r="L712">
        <v>4480.97</v>
      </c>
      <c r="M712">
        <v>42624</v>
      </c>
      <c r="N712" t="s">
        <v>36</v>
      </c>
      <c r="O712" t="s">
        <v>27</v>
      </c>
      <c r="P712" t="s">
        <v>45</v>
      </c>
      <c r="Q712">
        <v>32</v>
      </c>
      <c r="R712">
        <v>47.64</v>
      </c>
    </row>
    <row r="713" spans="1:18" x14ac:dyDescent="0.3">
      <c r="A713" t="s">
        <v>1487</v>
      </c>
      <c r="B713" t="s">
        <v>1488</v>
      </c>
      <c r="C713" t="s">
        <v>20</v>
      </c>
      <c r="D713" t="s">
        <v>59</v>
      </c>
      <c r="E713" s="4">
        <v>40868</v>
      </c>
      <c r="F713" t="s">
        <v>69</v>
      </c>
      <c r="G713" t="s">
        <v>102</v>
      </c>
      <c r="H713" t="s">
        <v>75</v>
      </c>
      <c r="I713" t="s">
        <v>35</v>
      </c>
      <c r="J713">
        <v>3</v>
      </c>
      <c r="K713">
        <v>90</v>
      </c>
      <c r="L713">
        <v>2948.97</v>
      </c>
      <c r="M713">
        <v>16944</v>
      </c>
      <c r="N713" t="s">
        <v>36</v>
      </c>
      <c r="O713" t="s">
        <v>62</v>
      </c>
      <c r="P713" t="s">
        <v>28</v>
      </c>
      <c r="Q713">
        <v>42</v>
      </c>
      <c r="R713">
        <v>99.88</v>
      </c>
    </row>
    <row r="714" spans="1:18" x14ac:dyDescent="0.3">
      <c r="A714" t="s">
        <v>1489</v>
      </c>
      <c r="B714" t="s">
        <v>1490</v>
      </c>
      <c r="C714" t="s">
        <v>41</v>
      </c>
      <c r="D714" t="s">
        <v>59</v>
      </c>
      <c r="E714" s="4">
        <v>45745</v>
      </c>
      <c r="F714" t="s">
        <v>69</v>
      </c>
      <c r="G714" t="s">
        <v>33</v>
      </c>
      <c r="H714" t="s">
        <v>55</v>
      </c>
      <c r="I714" t="s">
        <v>35</v>
      </c>
      <c r="J714">
        <v>3</v>
      </c>
      <c r="K714">
        <v>1452</v>
      </c>
      <c r="L714">
        <v>3328.51</v>
      </c>
      <c r="M714">
        <v>15839</v>
      </c>
      <c r="N714" t="s">
        <v>26</v>
      </c>
      <c r="O714" t="s">
        <v>37</v>
      </c>
      <c r="P714" t="s">
        <v>25</v>
      </c>
      <c r="Q714">
        <v>30</v>
      </c>
      <c r="R714">
        <v>178.43</v>
      </c>
    </row>
    <row r="715" spans="1:18" x14ac:dyDescent="0.3">
      <c r="A715" t="s">
        <v>1491</v>
      </c>
      <c r="B715" t="s">
        <v>1492</v>
      </c>
      <c r="C715" t="s">
        <v>31</v>
      </c>
      <c r="D715" t="s">
        <v>42</v>
      </c>
      <c r="E715" s="4">
        <v>41313</v>
      </c>
      <c r="F715" t="s">
        <v>48</v>
      </c>
      <c r="G715" t="s">
        <v>49</v>
      </c>
      <c r="H715" t="s">
        <v>24</v>
      </c>
      <c r="I715" t="s">
        <v>92</v>
      </c>
      <c r="J715">
        <v>6</v>
      </c>
      <c r="K715">
        <v>645</v>
      </c>
      <c r="L715">
        <v>3059.99</v>
      </c>
      <c r="M715">
        <v>48200</v>
      </c>
      <c r="N715" t="s">
        <v>61</v>
      </c>
      <c r="O715" t="s">
        <v>37</v>
      </c>
      <c r="P715" t="s">
        <v>51</v>
      </c>
      <c r="Q715">
        <v>50</v>
      </c>
      <c r="R715">
        <v>10.32</v>
      </c>
    </row>
    <row r="716" spans="1:18" x14ac:dyDescent="0.3">
      <c r="A716" t="s">
        <v>1493</v>
      </c>
      <c r="B716" t="s">
        <v>1494</v>
      </c>
      <c r="C716" t="s">
        <v>79</v>
      </c>
      <c r="D716" t="s">
        <v>32</v>
      </c>
      <c r="E716" s="4">
        <v>41731</v>
      </c>
      <c r="F716" t="s">
        <v>65</v>
      </c>
      <c r="G716" t="s">
        <v>23</v>
      </c>
      <c r="H716" t="s">
        <v>70</v>
      </c>
      <c r="I716" t="s">
        <v>25</v>
      </c>
      <c r="J716">
        <v>5</v>
      </c>
      <c r="K716">
        <v>848</v>
      </c>
      <c r="L716">
        <v>2445.02</v>
      </c>
      <c r="M716">
        <v>14955</v>
      </c>
      <c r="N716" t="s">
        <v>36</v>
      </c>
      <c r="O716" t="s">
        <v>56</v>
      </c>
      <c r="P716" t="s">
        <v>25</v>
      </c>
      <c r="Q716">
        <v>10</v>
      </c>
      <c r="R716">
        <v>248.14</v>
      </c>
    </row>
    <row r="717" spans="1:18" x14ac:dyDescent="0.3">
      <c r="A717" t="s">
        <v>1495</v>
      </c>
      <c r="B717" t="s">
        <v>1496</v>
      </c>
      <c r="C717" t="s">
        <v>97</v>
      </c>
      <c r="D717" t="s">
        <v>82</v>
      </c>
      <c r="E717" s="4">
        <v>45862</v>
      </c>
      <c r="F717" t="s">
        <v>60</v>
      </c>
      <c r="G717" t="s">
        <v>49</v>
      </c>
      <c r="H717" t="s">
        <v>75</v>
      </c>
      <c r="I717" t="s">
        <v>25</v>
      </c>
      <c r="J717">
        <v>4</v>
      </c>
      <c r="K717">
        <v>798</v>
      </c>
      <c r="L717">
        <v>1294.26</v>
      </c>
      <c r="M717">
        <v>31399</v>
      </c>
      <c r="N717" t="s">
        <v>26</v>
      </c>
      <c r="O717" t="s">
        <v>62</v>
      </c>
      <c r="P717" t="s">
        <v>52</v>
      </c>
      <c r="Q717">
        <v>38</v>
      </c>
      <c r="R717">
        <v>191.27</v>
      </c>
    </row>
    <row r="718" spans="1:18" x14ac:dyDescent="0.3">
      <c r="A718" t="s">
        <v>1497</v>
      </c>
      <c r="B718" t="s">
        <v>1498</v>
      </c>
      <c r="C718" t="s">
        <v>41</v>
      </c>
      <c r="D718" t="s">
        <v>42</v>
      </c>
      <c r="E718" s="4">
        <v>41533</v>
      </c>
      <c r="F718" t="s">
        <v>69</v>
      </c>
      <c r="G718" t="s">
        <v>102</v>
      </c>
      <c r="H718" t="s">
        <v>70</v>
      </c>
      <c r="I718" t="s">
        <v>76</v>
      </c>
      <c r="J718">
        <v>2</v>
      </c>
      <c r="K718">
        <v>1422</v>
      </c>
      <c r="L718">
        <v>3952.36</v>
      </c>
      <c r="M718">
        <v>35257</v>
      </c>
      <c r="N718" t="s">
        <v>36</v>
      </c>
      <c r="O718" t="s">
        <v>37</v>
      </c>
      <c r="P718" t="s">
        <v>28</v>
      </c>
      <c r="Q718">
        <v>35</v>
      </c>
      <c r="R718">
        <v>32.299999999999997</v>
      </c>
    </row>
    <row r="719" spans="1:18" x14ac:dyDescent="0.3">
      <c r="A719" t="s">
        <v>1499</v>
      </c>
      <c r="B719" t="s">
        <v>1500</v>
      </c>
      <c r="C719" t="s">
        <v>41</v>
      </c>
      <c r="D719" t="s">
        <v>42</v>
      </c>
      <c r="E719" s="4">
        <v>42744</v>
      </c>
      <c r="F719" t="s">
        <v>22</v>
      </c>
      <c r="G719" t="s">
        <v>33</v>
      </c>
      <c r="H719" t="s">
        <v>75</v>
      </c>
      <c r="I719" t="s">
        <v>25</v>
      </c>
      <c r="J719">
        <v>6</v>
      </c>
      <c r="K719">
        <v>870</v>
      </c>
      <c r="L719">
        <v>3608.26</v>
      </c>
      <c r="M719">
        <v>8376</v>
      </c>
      <c r="N719" t="s">
        <v>26</v>
      </c>
      <c r="O719" t="s">
        <v>27</v>
      </c>
      <c r="P719" t="s">
        <v>25</v>
      </c>
      <c r="Q719">
        <v>13</v>
      </c>
      <c r="R719">
        <v>194.52</v>
      </c>
    </row>
    <row r="720" spans="1:18" x14ac:dyDescent="0.3">
      <c r="A720" t="s">
        <v>1501</v>
      </c>
      <c r="B720" t="s">
        <v>1502</v>
      </c>
      <c r="C720" t="s">
        <v>79</v>
      </c>
      <c r="D720" t="s">
        <v>59</v>
      </c>
      <c r="E720" s="4">
        <v>40485</v>
      </c>
      <c r="F720" t="s">
        <v>69</v>
      </c>
      <c r="G720" t="s">
        <v>49</v>
      </c>
      <c r="H720" t="s">
        <v>50</v>
      </c>
      <c r="I720" t="s">
        <v>51</v>
      </c>
      <c r="J720">
        <v>4</v>
      </c>
      <c r="K720">
        <v>1019</v>
      </c>
      <c r="L720">
        <v>894.62</v>
      </c>
      <c r="M720">
        <v>22434</v>
      </c>
      <c r="N720" t="s">
        <v>36</v>
      </c>
      <c r="O720" t="s">
        <v>37</v>
      </c>
      <c r="P720" t="s">
        <v>25</v>
      </c>
      <c r="Q720">
        <v>40</v>
      </c>
      <c r="R720">
        <v>114.08</v>
      </c>
    </row>
    <row r="721" spans="1:18" x14ac:dyDescent="0.3">
      <c r="A721" t="s">
        <v>1503</v>
      </c>
      <c r="B721" t="s">
        <v>1504</v>
      </c>
      <c r="C721" t="s">
        <v>41</v>
      </c>
      <c r="D721" t="s">
        <v>21</v>
      </c>
      <c r="E721" s="4">
        <v>46133</v>
      </c>
      <c r="F721" t="s">
        <v>22</v>
      </c>
      <c r="G721" t="s">
        <v>33</v>
      </c>
      <c r="H721" t="s">
        <v>55</v>
      </c>
      <c r="I721" t="s">
        <v>35</v>
      </c>
      <c r="J721">
        <v>4</v>
      </c>
      <c r="K721">
        <v>838</v>
      </c>
      <c r="L721">
        <v>4325.1499999999996</v>
      </c>
      <c r="M721">
        <v>22395</v>
      </c>
      <c r="N721" t="s">
        <v>26</v>
      </c>
      <c r="O721" t="s">
        <v>37</v>
      </c>
      <c r="P721" t="s">
        <v>52</v>
      </c>
      <c r="Q721">
        <v>20</v>
      </c>
      <c r="R721">
        <v>35.65</v>
      </c>
    </row>
    <row r="722" spans="1:18" x14ac:dyDescent="0.3">
      <c r="A722" t="s">
        <v>1505</v>
      </c>
      <c r="B722" t="s">
        <v>1506</v>
      </c>
      <c r="C722" t="s">
        <v>20</v>
      </c>
      <c r="D722" t="s">
        <v>109</v>
      </c>
      <c r="E722" s="4">
        <v>42846</v>
      </c>
      <c r="F722" t="s">
        <v>69</v>
      </c>
      <c r="G722" t="s">
        <v>33</v>
      </c>
      <c r="H722" t="s">
        <v>50</v>
      </c>
      <c r="I722" t="s">
        <v>25</v>
      </c>
      <c r="J722">
        <v>8</v>
      </c>
      <c r="K722">
        <v>436</v>
      </c>
      <c r="L722">
        <v>2371.37</v>
      </c>
      <c r="M722">
        <v>32497</v>
      </c>
      <c r="N722" t="s">
        <v>26</v>
      </c>
      <c r="O722" t="s">
        <v>62</v>
      </c>
      <c r="P722" t="s">
        <v>38</v>
      </c>
      <c r="Q722">
        <v>31</v>
      </c>
      <c r="R722">
        <v>40.36</v>
      </c>
    </row>
    <row r="723" spans="1:18" x14ac:dyDescent="0.3">
      <c r="A723" t="s">
        <v>1507</v>
      </c>
      <c r="B723" t="s">
        <v>1508</v>
      </c>
      <c r="C723" t="s">
        <v>20</v>
      </c>
      <c r="D723" t="s">
        <v>42</v>
      </c>
      <c r="E723" s="4">
        <v>42154</v>
      </c>
      <c r="F723" t="s">
        <v>48</v>
      </c>
      <c r="G723" t="s">
        <v>102</v>
      </c>
      <c r="H723" t="s">
        <v>75</v>
      </c>
      <c r="I723" t="s">
        <v>92</v>
      </c>
      <c r="J723">
        <v>5</v>
      </c>
      <c r="K723">
        <v>1344</v>
      </c>
      <c r="L723">
        <v>564</v>
      </c>
      <c r="M723">
        <v>40199</v>
      </c>
      <c r="N723" t="s">
        <v>26</v>
      </c>
      <c r="O723" t="s">
        <v>37</v>
      </c>
      <c r="P723" t="s">
        <v>38</v>
      </c>
      <c r="Q723">
        <v>8</v>
      </c>
      <c r="R723">
        <v>98.11</v>
      </c>
    </row>
    <row r="724" spans="1:18" x14ac:dyDescent="0.3">
      <c r="A724" t="s">
        <v>1509</v>
      </c>
      <c r="B724" t="s">
        <v>1510</v>
      </c>
      <c r="C724" t="s">
        <v>97</v>
      </c>
      <c r="D724" t="s">
        <v>59</v>
      </c>
      <c r="E724" s="4">
        <v>44814</v>
      </c>
      <c r="F724" t="s">
        <v>60</v>
      </c>
      <c r="G724" t="s">
        <v>23</v>
      </c>
      <c r="H724" t="s">
        <v>34</v>
      </c>
      <c r="I724" t="s">
        <v>25</v>
      </c>
      <c r="J724">
        <v>5</v>
      </c>
      <c r="K724">
        <v>1181</v>
      </c>
      <c r="L724">
        <v>3487.43</v>
      </c>
      <c r="M724">
        <v>49044</v>
      </c>
      <c r="N724" t="s">
        <v>26</v>
      </c>
      <c r="O724" t="s">
        <v>37</v>
      </c>
      <c r="P724" t="s">
        <v>45</v>
      </c>
      <c r="Q724">
        <v>18</v>
      </c>
      <c r="R724">
        <v>148.31</v>
      </c>
    </row>
    <row r="725" spans="1:18" x14ac:dyDescent="0.3">
      <c r="A725" t="s">
        <v>1511</v>
      </c>
      <c r="B725" t="s">
        <v>1512</v>
      </c>
      <c r="C725" t="s">
        <v>41</v>
      </c>
      <c r="D725" t="s">
        <v>59</v>
      </c>
      <c r="E725" s="4">
        <v>40635</v>
      </c>
      <c r="F725" t="s">
        <v>65</v>
      </c>
      <c r="G725" t="s">
        <v>102</v>
      </c>
      <c r="H725" t="s">
        <v>75</v>
      </c>
      <c r="I725" t="s">
        <v>35</v>
      </c>
      <c r="J725">
        <v>3</v>
      </c>
      <c r="K725">
        <v>941</v>
      </c>
      <c r="L725">
        <v>3299.21</v>
      </c>
      <c r="M725">
        <v>43131</v>
      </c>
      <c r="N725" t="s">
        <v>26</v>
      </c>
      <c r="O725" t="s">
        <v>62</v>
      </c>
      <c r="P725" t="s">
        <v>38</v>
      </c>
      <c r="Q725">
        <v>23</v>
      </c>
      <c r="R725">
        <v>46.93</v>
      </c>
    </row>
    <row r="726" spans="1:18" x14ac:dyDescent="0.3">
      <c r="A726" t="s">
        <v>1513</v>
      </c>
      <c r="B726" t="s">
        <v>1514</v>
      </c>
      <c r="C726" t="s">
        <v>20</v>
      </c>
      <c r="D726" t="s">
        <v>59</v>
      </c>
      <c r="E726" s="4">
        <v>45057</v>
      </c>
      <c r="F726" t="s">
        <v>22</v>
      </c>
      <c r="G726" t="s">
        <v>23</v>
      </c>
      <c r="H726" t="s">
        <v>24</v>
      </c>
      <c r="I726" t="s">
        <v>34</v>
      </c>
      <c r="J726">
        <v>8</v>
      </c>
      <c r="K726">
        <v>643</v>
      </c>
      <c r="L726">
        <v>2028.42</v>
      </c>
      <c r="M726">
        <v>38987</v>
      </c>
      <c r="N726" t="s">
        <v>26</v>
      </c>
      <c r="O726" t="s">
        <v>27</v>
      </c>
      <c r="P726" t="s">
        <v>25</v>
      </c>
      <c r="Q726">
        <v>39</v>
      </c>
      <c r="R726">
        <v>164.8</v>
      </c>
    </row>
    <row r="727" spans="1:18" x14ac:dyDescent="0.3">
      <c r="A727" t="s">
        <v>1515</v>
      </c>
      <c r="B727" t="s">
        <v>1516</v>
      </c>
      <c r="C727" t="s">
        <v>41</v>
      </c>
      <c r="D727" t="s">
        <v>82</v>
      </c>
      <c r="E727" s="4">
        <v>43099</v>
      </c>
      <c r="F727" t="s">
        <v>22</v>
      </c>
      <c r="G727" t="s">
        <v>23</v>
      </c>
      <c r="H727" t="s">
        <v>75</v>
      </c>
      <c r="I727" t="s">
        <v>51</v>
      </c>
      <c r="J727">
        <v>0</v>
      </c>
      <c r="K727">
        <v>72</v>
      </c>
      <c r="L727">
        <v>4743.7299999999996</v>
      </c>
      <c r="M727">
        <v>29509</v>
      </c>
      <c r="N727" t="s">
        <v>36</v>
      </c>
      <c r="O727" t="s">
        <v>27</v>
      </c>
      <c r="P727" t="s">
        <v>28</v>
      </c>
      <c r="Q727">
        <v>39</v>
      </c>
      <c r="R727">
        <v>196.42</v>
      </c>
    </row>
    <row r="728" spans="1:18" x14ac:dyDescent="0.3">
      <c r="A728" t="s">
        <v>1517</v>
      </c>
      <c r="B728" t="s">
        <v>1518</v>
      </c>
      <c r="C728" t="s">
        <v>31</v>
      </c>
      <c r="D728" t="s">
        <v>59</v>
      </c>
      <c r="E728" s="4">
        <v>40855</v>
      </c>
      <c r="F728" t="s">
        <v>48</v>
      </c>
      <c r="G728" t="s">
        <v>44</v>
      </c>
      <c r="H728" t="s">
        <v>24</v>
      </c>
      <c r="I728" t="s">
        <v>34</v>
      </c>
      <c r="J728">
        <v>1</v>
      </c>
      <c r="K728">
        <v>782</v>
      </c>
      <c r="L728">
        <v>4904.72</v>
      </c>
      <c r="M728">
        <v>43740</v>
      </c>
      <c r="N728" t="s">
        <v>36</v>
      </c>
      <c r="O728" t="s">
        <v>37</v>
      </c>
      <c r="P728" t="s">
        <v>25</v>
      </c>
      <c r="Q728">
        <v>16</v>
      </c>
      <c r="R728">
        <v>62.78</v>
      </c>
    </row>
    <row r="729" spans="1:18" x14ac:dyDescent="0.3">
      <c r="A729" t="s">
        <v>1519</v>
      </c>
      <c r="B729" t="s">
        <v>1520</v>
      </c>
      <c r="C729" t="s">
        <v>97</v>
      </c>
      <c r="D729" t="s">
        <v>42</v>
      </c>
      <c r="E729" s="4">
        <v>45209</v>
      </c>
      <c r="F729" t="s">
        <v>60</v>
      </c>
      <c r="G729" t="s">
        <v>49</v>
      </c>
      <c r="H729" t="s">
        <v>50</v>
      </c>
      <c r="I729" t="s">
        <v>76</v>
      </c>
      <c r="J729">
        <v>6</v>
      </c>
      <c r="K729">
        <v>316</v>
      </c>
      <c r="L729">
        <v>4959.3999999999996</v>
      </c>
      <c r="M729">
        <v>37911</v>
      </c>
      <c r="N729" t="s">
        <v>36</v>
      </c>
      <c r="O729" t="s">
        <v>37</v>
      </c>
      <c r="P729" t="s">
        <v>51</v>
      </c>
      <c r="Q729">
        <v>46</v>
      </c>
      <c r="R729">
        <v>113.58</v>
      </c>
    </row>
    <row r="730" spans="1:18" x14ac:dyDescent="0.3">
      <c r="A730" t="s">
        <v>1521</v>
      </c>
      <c r="B730" t="s">
        <v>1522</v>
      </c>
      <c r="C730" t="s">
        <v>41</v>
      </c>
      <c r="D730" t="s">
        <v>32</v>
      </c>
      <c r="E730" s="4">
        <v>43523</v>
      </c>
      <c r="F730" t="s">
        <v>22</v>
      </c>
      <c r="G730" t="s">
        <v>33</v>
      </c>
      <c r="H730" t="s">
        <v>50</v>
      </c>
      <c r="I730" t="s">
        <v>51</v>
      </c>
      <c r="J730">
        <v>0</v>
      </c>
      <c r="K730">
        <v>580</v>
      </c>
      <c r="L730">
        <v>1279.8599999999999</v>
      </c>
      <c r="M730">
        <v>19521</v>
      </c>
      <c r="N730" t="s">
        <v>61</v>
      </c>
      <c r="O730" t="s">
        <v>62</v>
      </c>
      <c r="P730" t="s">
        <v>51</v>
      </c>
      <c r="Q730">
        <v>16</v>
      </c>
      <c r="R730">
        <v>166.3</v>
      </c>
    </row>
    <row r="731" spans="1:18" x14ac:dyDescent="0.3">
      <c r="A731" t="s">
        <v>1523</v>
      </c>
      <c r="B731" t="s">
        <v>1524</v>
      </c>
      <c r="C731" t="s">
        <v>31</v>
      </c>
      <c r="D731" t="s">
        <v>32</v>
      </c>
      <c r="E731" s="4">
        <v>40879</v>
      </c>
      <c r="F731" t="s">
        <v>43</v>
      </c>
      <c r="G731" t="s">
        <v>102</v>
      </c>
      <c r="H731" t="s">
        <v>70</v>
      </c>
      <c r="I731" t="s">
        <v>34</v>
      </c>
      <c r="J731">
        <v>4</v>
      </c>
      <c r="K731">
        <v>651</v>
      </c>
      <c r="L731">
        <v>2873.48</v>
      </c>
      <c r="M731">
        <v>2554</v>
      </c>
      <c r="N731" t="s">
        <v>36</v>
      </c>
      <c r="O731" t="s">
        <v>56</v>
      </c>
      <c r="P731" t="s">
        <v>25</v>
      </c>
      <c r="Q731">
        <v>47</v>
      </c>
      <c r="R731">
        <v>191.99</v>
      </c>
    </row>
    <row r="732" spans="1:18" x14ac:dyDescent="0.3">
      <c r="A732" t="s">
        <v>1525</v>
      </c>
      <c r="B732" t="s">
        <v>1526</v>
      </c>
      <c r="C732" t="s">
        <v>68</v>
      </c>
      <c r="D732" t="s">
        <v>32</v>
      </c>
      <c r="E732" s="4">
        <v>40984</v>
      </c>
      <c r="F732" t="s">
        <v>43</v>
      </c>
      <c r="G732" t="s">
        <v>33</v>
      </c>
      <c r="H732" t="s">
        <v>55</v>
      </c>
      <c r="I732" t="s">
        <v>25</v>
      </c>
      <c r="J732">
        <v>3</v>
      </c>
      <c r="K732">
        <v>1180</v>
      </c>
      <c r="L732">
        <v>3160.98</v>
      </c>
      <c r="M732">
        <v>39587</v>
      </c>
      <c r="N732" t="s">
        <v>61</v>
      </c>
      <c r="O732" t="s">
        <v>27</v>
      </c>
      <c r="P732" t="s">
        <v>52</v>
      </c>
      <c r="Q732">
        <v>22</v>
      </c>
      <c r="R732">
        <v>124.67</v>
      </c>
    </row>
    <row r="733" spans="1:18" x14ac:dyDescent="0.3">
      <c r="A733" t="s">
        <v>1527</v>
      </c>
      <c r="B733" t="s">
        <v>1528</v>
      </c>
      <c r="C733" t="s">
        <v>68</v>
      </c>
      <c r="D733" t="s">
        <v>32</v>
      </c>
      <c r="E733" s="4">
        <v>42092</v>
      </c>
      <c r="F733" t="s">
        <v>65</v>
      </c>
      <c r="G733" t="s">
        <v>83</v>
      </c>
      <c r="H733" t="s">
        <v>55</v>
      </c>
      <c r="I733" t="s">
        <v>35</v>
      </c>
      <c r="J733">
        <v>4</v>
      </c>
      <c r="K733">
        <v>1</v>
      </c>
      <c r="L733">
        <v>997.37</v>
      </c>
      <c r="M733">
        <v>15591</v>
      </c>
      <c r="N733" t="s">
        <v>36</v>
      </c>
      <c r="O733" t="s">
        <v>62</v>
      </c>
      <c r="P733" t="s">
        <v>52</v>
      </c>
      <c r="Q733">
        <v>2</v>
      </c>
      <c r="R733">
        <v>179.42</v>
      </c>
    </row>
    <row r="734" spans="1:18" x14ac:dyDescent="0.3">
      <c r="A734" t="s">
        <v>1529</v>
      </c>
      <c r="B734" t="s">
        <v>1530</v>
      </c>
      <c r="C734" t="s">
        <v>97</v>
      </c>
      <c r="D734" t="s">
        <v>82</v>
      </c>
      <c r="E734" s="4">
        <v>42384</v>
      </c>
      <c r="F734" t="s">
        <v>60</v>
      </c>
      <c r="G734" t="s">
        <v>33</v>
      </c>
      <c r="H734" t="s">
        <v>55</v>
      </c>
      <c r="I734" t="s">
        <v>25</v>
      </c>
      <c r="J734">
        <v>2</v>
      </c>
      <c r="K734">
        <v>378</v>
      </c>
      <c r="L734">
        <v>1559.36</v>
      </c>
      <c r="M734">
        <v>43763</v>
      </c>
      <c r="N734" t="s">
        <v>61</v>
      </c>
      <c r="O734" t="s">
        <v>37</v>
      </c>
      <c r="P734" t="s">
        <v>51</v>
      </c>
      <c r="Q734">
        <v>10</v>
      </c>
      <c r="R734">
        <v>209.52</v>
      </c>
    </row>
    <row r="735" spans="1:18" x14ac:dyDescent="0.3">
      <c r="A735" t="s">
        <v>1531</v>
      </c>
      <c r="B735" t="s">
        <v>1532</v>
      </c>
      <c r="C735" t="s">
        <v>31</v>
      </c>
      <c r="D735" t="s">
        <v>21</v>
      </c>
      <c r="E735" s="4">
        <v>45781</v>
      </c>
      <c r="F735" t="s">
        <v>22</v>
      </c>
      <c r="G735" t="s">
        <v>33</v>
      </c>
      <c r="H735" t="s">
        <v>34</v>
      </c>
      <c r="I735" t="s">
        <v>76</v>
      </c>
      <c r="J735">
        <v>0</v>
      </c>
      <c r="K735">
        <v>198</v>
      </c>
      <c r="L735">
        <v>2854.06</v>
      </c>
      <c r="M735">
        <v>25567</v>
      </c>
      <c r="N735" t="s">
        <v>36</v>
      </c>
      <c r="O735" t="s">
        <v>56</v>
      </c>
      <c r="P735" t="s">
        <v>51</v>
      </c>
      <c r="Q735">
        <v>49</v>
      </c>
      <c r="R735">
        <v>240.87</v>
      </c>
    </row>
    <row r="736" spans="1:18" x14ac:dyDescent="0.3">
      <c r="A736" t="s">
        <v>1533</v>
      </c>
      <c r="B736" t="s">
        <v>1534</v>
      </c>
      <c r="C736" t="s">
        <v>116</v>
      </c>
      <c r="D736" t="s">
        <v>32</v>
      </c>
      <c r="E736" s="4">
        <v>43678</v>
      </c>
      <c r="F736" t="s">
        <v>48</v>
      </c>
      <c r="G736" t="s">
        <v>44</v>
      </c>
      <c r="H736" t="s">
        <v>24</v>
      </c>
      <c r="I736" t="s">
        <v>76</v>
      </c>
      <c r="J736">
        <v>3</v>
      </c>
      <c r="K736">
        <v>130</v>
      </c>
      <c r="L736">
        <v>1067.23</v>
      </c>
      <c r="M736">
        <v>7090</v>
      </c>
      <c r="N736" t="s">
        <v>61</v>
      </c>
      <c r="O736" t="s">
        <v>62</v>
      </c>
      <c r="P736" t="s">
        <v>25</v>
      </c>
      <c r="Q736">
        <v>26</v>
      </c>
      <c r="R736">
        <v>214.6</v>
      </c>
    </row>
    <row r="737" spans="1:18" x14ac:dyDescent="0.3">
      <c r="A737" t="s">
        <v>1535</v>
      </c>
      <c r="B737" t="s">
        <v>1536</v>
      </c>
      <c r="C737" t="s">
        <v>20</v>
      </c>
      <c r="D737" t="s">
        <v>59</v>
      </c>
      <c r="E737" s="4">
        <v>42929</v>
      </c>
      <c r="F737" t="s">
        <v>65</v>
      </c>
      <c r="G737" t="s">
        <v>49</v>
      </c>
      <c r="H737" t="s">
        <v>24</v>
      </c>
      <c r="I737" t="s">
        <v>34</v>
      </c>
      <c r="J737">
        <v>1</v>
      </c>
      <c r="K737">
        <v>1407</v>
      </c>
      <c r="L737">
        <v>4900.8</v>
      </c>
      <c r="M737">
        <v>4518</v>
      </c>
      <c r="N737" t="s">
        <v>26</v>
      </c>
      <c r="O737" t="s">
        <v>37</v>
      </c>
      <c r="P737" t="s">
        <v>28</v>
      </c>
      <c r="Q737">
        <v>33</v>
      </c>
      <c r="R737">
        <v>129.22</v>
      </c>
    </row>
    <row r="738" spans="1:18" x14ac:dyDescent="0.3">
      <c r="A738" t="s">
        <v>1537</v>
      </c>
      <c r="B738" t="s">
        <v>1538</v>
      </c>
      <c r="C738" t="s">
        <v>20</v>
      </c>
      <c r="D738" t="s">
        <v>32</v>
      </c>
      <c r="E738" s="4">
        <v>46003</v>
      </c>
      <c r="F738" t="s">
        <v>65</v>
      </c>
      <c r="G738" t="s">
        <v>102</v>
      </c>
      <c r="H738" t="s">
        <v>24</v>
      </c>
      <c r="I738" t="s">
        <v>76</v>
      </c>
      <c r="J738">
        <v>4</v>
      </c>
      <c r="K738">
        <v>1283</v>
      </c>
      <c r="L738">
        <v>2812.58</v>
      </c>
      <c r="M738">
        <v>15993</v>
      </c>
      <c r="N738" t="s">
        <v>61</v>
      </c>
      <c r="O738" t="s">
        <v>37</v>
      </c>
      <c r="P738" t="s">
        <v>45</v>
      </c>
      <c r="Q738">
        <v>32</v>
      </c>
      <c r="R738">
        <v>4.45</v>
      </c>
    </row>
    <row r="739" spans="1:18" x14ac:dyDescent="0.3">
      <c r="A739" t="s">
        <v>1539</v>
      </c>
      <c r="B739" t="s">
        <v>1540</v>
      </c>
      <c r="C739" t="s">
        <v>68</v>
      </c>
      <c r="D739" t="s">
        <v>42</v>
      </c>
      <c r="E739" s="4">
        <v>43601</v>
      </c>
      <c r="F739" t="s">
        <v>60</v>
      </c>
      <c r="G739" t="s">
        <v>49</v>
      </c>
      <c r="H739" t="s">
        <v>34</v>
      </c>
      <c r="I739" t="s">
        <v>76</v>
      </c>
      <c r="J739">
        <v>5</v>
      </c>
      <c r="K739">
        <v>798</v>
      </c>
      <c r="L739">
        <v>3010.73</v>
      </c>
      <c r="M739">
        <v>16041</v>
      </c>
      <c r="N739" t="s">
        <v>36</v>
      </c>
      <c r="O739" t="s">
        <v>56</v>
      </c>
      <c r="P739" t="s">
        <v>25</v>
      </c>
      <c r="Q739">
        <v>34</v>
      </c>
      <c r="R739">
        <v>13.14</v>
      </c>
    </row>
    <row r="740" spans="1:18" x14ac:dyDescent="0.3">
      <c r="A740" t="s">
        <v>1541</v>
      </c>
      <c r="B740" t="s">
        <v>1542</v>
      </c>
      <c r="C740" t="s">
        <v>97</v>
      </c>
      <c r="D740" t="s">
        <v>21</v>
      </c>
      <c r="E740" s="4">
        <v>44701</v>
      </c>
      <c r="F740" t="s">
        <v>69</v>
      </c>
      <c r="G740" t="s">
        <v>33</v>
      </c>
      <c r="H740" t="s">
        <v>75</v>
      </c>
      <c r="I740" t="s">
        <v>51</v>
      </c>
      <c r="J740">
        <v>6</v>
      </c>
      <c r="K740">
        <v>1331</v>
      </c>
      <c r="L740">
        <v>4664.3999999999996</v>
      </c>
      <c r="M740">
        <v>27922</v>
      </c>
      <c r="N740" t="s">
        <v>36</v>
      </c>
      <c r="O740" t="s">
        <v>56</v>
      </c>
      <c r="P740" t="s">
        <v>45</v>
      </c>
      <c r="Q740">
        <v>25</v>
      </c>
      <c r="R740">
        <v>2.65</v>
      </c>
    </row>
    <row r="741" spans="1:18" x14ac:dyDescent="0.3">
      <c r="A741" t="s">
        <v>1543</v>
      </c>
      <c r="B741" t="s">
        <v>1544</v>
      </c>
      <c r="C741" t="s">
        <v>68</v>
      </c>
      <c r="D741" t="s">
        <v>21</v>
      </c>
      <c r="E741" s="4">
        <v>45245</v>
      </c>
      <c r="F741" t="s">
        <v>22</v>
      </c>
      <c r="G741" t="s">
        <v>23</v>
      </c>
      <c r="H741" t="s">
        <v>55</v>
      </c>
      <c r="I741" t="s">
        <v>51</v>
      </c>
      <c r="J741">
        <v>0</v>
      </c>
      <c r="K741">
        <v>41</v>
      </c>
      <c r="L741">
        <v>1005.66</v>
      </c>
      <c r="M741">
        <v>9316</v>
      </c>
      <c r="N741" t="s">
        <v>61</v>
      </c>
      <c r="O741" t="s">
        <v>27</v>
      </c>
      <c r="P741" t="s">
        <v>45</v>
      </c>
      <c r="Q741">
        <v>48</v>
      </c>
      <c r="R741">
        <v>204.68</v>
      </c>
    </row>
    <row r="742" spans="1:18" x14ac:dyDescent="0.3">
      <c r="A742" t="s">
        <v>1545</v>
      </c>
      <c r="B742" t="s">
        <v>1546</v>
      </c>
      <c r="C742" t="s">
        <v>68</v>
      </c>
      <c r="D742" t="s">
        <v>109</v>
      </c>
      <c r="E742" s="4">
        <v>42802</v>
      </c>
      <c r="F742" t="s">
        <v>48</v>
      </c>
      <c r="G742" t="s">
        <v>44</v>
      </c>
      <c r="H742" t="s">
        <v>75</v>
      </c>
      <c r="I742" t="s">
        <v>25</v>
      </c>
      <c r="J742">
        <v>6</v>
      </c>
      <c r="K742">
        <v>557</v>
      </c>
      <c r="L742">
        <v>3707.67</v>
      </c>
      <c r="M742">
        <v>46365</v>
      </c>
      <c r="N742" t="s">
        <v>26</v>
      </c>
      <c r="O742" t="s">
        <v>62</v>
      </c>
      <c r="P742" t="s">
        <v>25</v>
      </c>
      <c r="Q742">
        <v>50</v>
      </c>
      <c r="R742">
        <v>161.79</v>
      </c>
    </row>
    <row r="743" spans="1:18" x14ac:dyDescent="0.3">
      <c r="A743" t="s">
        <v>1547</v>
      </c>
      <c r="B743" t="s">
        <v>1548</v>
      </c>
      <c r="C743" t="s">
        <v>97</v>
      </c>
      <c r="D743" t="s">
        <v>42</v>
      </c>
      <c r="E743" s="4">
        <v>41538</v>
      </c>
      <c r="F743" t="s">
        <v>43</v>
      </c>
      <c r="G743" t="s">
        <v>102</v>
      </c>
      <c r="H743" t="s">
        <v>24</v>
      </c>
      <c r="I743" t="s">
        <v>51</v>
      </c>
      <c r="J743">
        <v>1</v>
      </c>
      <c r="K743">
        <v>251</v>
      </c>
      <c r="L743">
        <v>3419.16</v>
      </c>
      <c r="M743">
        <v>29946</v>
      </c>
      <c r="N743" t="s">
        <v>36</v>
      </c>
      <c r="O743" t="s">
        <v>27</v>
      </c>
      <c r="P743" t="s">
        <v>38</v>
      </c>
      <c r="Q743">
        <v>27</v>
      </c>
      <c r="R743">
        <v>145.29</v>
      </c>
    </row>
    <row r="744" spans="1:18" x14ac:dyDescent="0.3">
      <c r="A744" t="s">
        <v>1549</v>
      </c>
      <c r="B744" t="s">
        <v>1550</v>
      </c>
      <c r="C744" t="s">
        <v>31</v>
      </c>
      <c r="D744" t="s">
        <v>82</v>
      </c>
      <c r="E744" s="4">
        <v>45396</v>
      </c>
      <c r="F744" t="s">
        <v>69</v>
      </c>
      <c r="G744" t="s">
        <v>83</v>
      </c>
      <c r="H744" t="s">
        <v>34</v>
      </c>
      <c r="I744" t="s">
        <v>34</v>
      </c>
      <c r="J744">
        <v>4</v>
      </c>
      <c r="K744">
        <v>182</v>
      </c>
      <c r="L744">
        <v>4982.9799999999996</v>
      </c>
      <c r="M744">
        <v>27451</v>
      </c>
      <c r="N744" t="s">
        <v>36</v>
      </c>
      <c r="O744" t="s">
        <v>56</v>
      </c>
      <c r="P744" t="s">
        <v>45</v>
      </c>
      <c r="Q744">
        <v>41</v>
      </c>
      <c r="R744">
        <v>186.81</v>
      </c>
    </row>
    <row r="745" spans="1:18" x14ac:dyDescent="0.3">
      <c r="A745" t="s">
        <v>1551</v>
      </c>
      <c r="B745" t="s">
        <v>1552</v>
      </c>
      <c r="C745" t="s">
        <v>97</v>
      </c>
      <c r="D745" t="s">
        <v>42</v>
      </c>
      <c r="E745" s="4">
        <v>46166</v>
      </c>
      <c r="F745" t="s">
        <v>65</v>
      </c>
      <c r="G745" t="s">
        <v>23</v>
      </c>
      <c r="H745" t="s">
        <v>50</v>
      </c>
      <c r="I745" t="s">
        <v>51</v>
      </c>
      <c r="J745">
        <v>7</v>
      </c>
      <c r="K745">
        <v>373</v>
      </c>
      <c r="L745">
        <v>4986.95</v>
      </c>
      <c r="M745">
        <v>45592</v>
      </c>
      <c r="N745" t="s">
        <v>61</v>
      </c>
      <c r="O745" t="s">
        <v>62</v>
      </c>
      <c r="P745" t="s">
        <v>45</v>
      </c>
      <c r="Q745">
        <v>45</v>
      </c>
      <c r="R745">
        <v>41.88</v>
      </c>
    </row>
    <row r="746" spans="1:18" x14ac:dyDescent="0.3">
      <c r="A746" t="s">
        <v>1553</v>
      </c>
      <c r="B746" t="s">
        <v>1554</v>
      </c>
      <c r="C746" t="s">
        <v>31</v>
      </c>
      <c r="D746" t="s">
        <v>109</v>
      </c>
      <c r="E746" s="4">
        <v>40977</v>
      </c>
      <c r="F746" t="s">
        <v>65</v>
      </c>
      <c r="G746" t="s">
        <v>33</v>
      </c>
      <c r="H746" t="s">
        <v>70</v>
      </c>
      <c r="I746" t="s">
        <v>35</v>
      </c>
      <c r="J746">
        <v>3</v>
      </c>
      <c r="K746">
        <v>54</v>
      </c>
      <c r="L746">
        <v>1110.3499999999999</v>
      </c>
      <c r="M746">
        <v>10852</v>
      </c>
      <c r="N746" t="s">
        <v>36</v>
      </c>
      <c r="O746" t="s">
        <v>56</v>
      </c>
      <c r="P746" t="s">
        <v>52</v>
      </c>
      <c r="Q746">
        <v>10</v>
      </c>
      <c r="R746">
        <v>225.78</v>
      </c>
    </row>
    <row r="747" spans="1:18" x14ac:dyDescent="0.3">
      <c r="A747" t="s">
        <v>1555</v>
      </c>
      <c r="B747" t="s">
        <v>1556</v>
      </c>
      <c r="C747" t="s">
        <v>116</v>
      </c>
      <c r="D747" t="s">
        <v>59</v>
      </c>
      <c r="E747" s="4">
        <v>44502</v>
      </c>
      <c r="F747" t="s">
        <v>48</v>
      </c>
      <c r="G747" t="s">
        <v>102</v>
      </c>
      <c r="H747" t="s">
        <v>24</v>
      </c>
      <c r="I747" t="s">
        <v>76</v>
      </c>
      <c r="J747">
        <v>8</v>
      </c>
      <c r="K747">
        <v>1243</v>
      </c>
      <c r="L747">
        <v>4802.07</v>
      </c>
      <c r="M747">
        <v>23304</v>
      </c>
      <c r="N747" t="s">
        <v>36</v>
      </c>
      <c r="O747" t="s">
        <v>56</v>
      </c>
      <c r="P747" t="s">
        <v>52</v>
      </c>
      <c r="Q747">
        <v>43</v>
      </c>
      <c r="R747">
        <v>228.14</v>
      </c>
    </row>
    <row r="748" spans="1:18" x14ac:dyDescent="0.3">
      <c r="A748" t="s">
        <v>1557</v>
      </c>
      <c r="B748" t="s">
        <v>1558</v>
      </c>
      <c r="C748" t="s">
        <v>20</v>
      </c>
      <c r="D748" t="s">
        <v>59</v>
      </c>
      <c r="E748" s="4">
        <v>44038</v>
      </c>
      <c r="F748" t="s">
        <v>22</v>
      </c>
      <c r="G748" t="s">
        <v>83</v>
      </c>
      <c r="H748" t="s">
        <v>75</v>
      </c>
      <c r="I748" t="s">
        <v>35</v>
      </c>
      <c r="J748">
        <v>6</v>
      </c>
      <c r="K748">
        <v>350</v>
      </c>
      <c r="L748">
        <v>222.38</v>
      </c>
      <c r="M748">
        <v>35995</v>
      </c>
      <c r="N748" t="s">
        <v>61</v>
      </c>
      <c r="O748" t="s">
        <v>27</v>
      </c>
      <c r="P748" t="s">
        <v>45</v>
      </c>
      <c r="Q748">
        <v>1</v>
      </c>
      <c r="R748">
        <v>89.52</v>
      </c>
    </row>
    <row r="749" spans="1:18" x14ac:dyDescent="0.3">
      <c r="A749" t="s">
        <v>1559</v>
      </c>
      <c r="B749" t="s">
        <v>1560</v>
      </c>
      <c r="C749" t="s">
        <v>79</v>
      </c>
      <c r="D749" t="s">
        <v>42</v>
      </c>
      <c r="E749" s="4">
        <v>44712</v>
      </c>
      <c r="F749" t="s">
        <v>43</v>
      </c>
      <c r="G749" t="s">
        <v>49</v>
      </c>
      <c r="H749" t="s">
        <v>34</v>
      </c>
      <c r="I749" t="s">
        <v>76</v>
      </c>
      <c r="J749">
        <v>0</v>
      </c>
      <c r="K749">
        <v>1376</v>
      </c>
      <c r="L749">
        <v>2979.65</v>
      </c>
      <c r="M749">
        <v>23931</v>
      </c>
      <c r="N749" t="s">
        <v>36</v>
      </c>
      <c r="O749" t="s">
        <v>56</v>
      </c>
      <c r="P749" t="s">
        <v>28</v>
      </c>
      <c r="Q749">
        <v>49</v>
      </c>
      <c r="R749">
        <v>238</v>
      </c>
    </row>
    <row r="750" spans="1:18" x14ac:dyDescent="0.3">
      <c r="A750" t="s">
        <v>1561</v>
      </c>
      <c r="B750" t="s">
        <v>1562</v>
      </c>
      <c r="C750" t="s">
        <v>31</v>
      </c>
      <c r="D750" t="s">
        <v>109</v>
      </c>
      <c r="E750" s="4">
        <v>41387</v>
      </c>
      <c r="F750" t="s">
        <v>43</v>
      </c>
      <c r="G750" t="s">
        <v>102</v>
      </c>
      <c r="H750" t="s">
        <v>24</v>
      </c>
      <c r="I750" t="s">
        <v>76</v>
      </c>
      <c r="J750">
        <v>7</v>
      </c>
      <c r="K750">
        <v>669</v>
      </c>
      <c r="L750">
        <v>4821.57</v>
      </c>
      <c r="M750">
        <v>45355</v>
      </c>
      <c r="N750" t="s">
        <v>26</v>
      </c>
      <c r="O750" t="s">
        <v>37</v>
      </c>
      <c r="P750" t="s">
        <v>45</v>
      </c>
      <c r="Q750">
        <v>27</v>
      </c>
      <c r="R750">
        <v>209.77</v>
      </c>
    </row>
    <row r="751" spans="1:18" x14ac:dyDescent="0.3">
      <c r="A751" t="s">
        <v>1563</v>
      </c>
      <c r="B751" t="s">
        <v>1564</v>
      </c>
      <c r="C751" t="s">
        <v>97</v>
      </c>
      <c r="D751" t="s">
        <v>32</v>
      </c>
      <c r="E751" s="4">
        <v>41699</v>
      </c>
      <c r="F751" t="s">
        <v>60</v>
      </c>
      <c r="G751" t="s">
        <v>83</v>
      </c>
      <c r="H751" t="s">
        <v>24</v>
      </c>
      <c r="I751" t="s">
        <v>35</v>
      </c>
      <c r="J751">
        <v>6</v>
      </c>
      <c r="K751">
        <v>1095</v>
      </c>
      <c r="L751">
        <v>4001.75</v>
      </c>
      <c r="M751">
        <v>27390</v>
      </c>
      <c r="N751" t="s">
        <v>61</v>
      </c>
      <c r="O751" t="s">
        <v>37</v>
      </c>
      <c r="P751" t="s">
        <v>28</v>
      </c>
      <c r="Q751">
        <v>25</v>
      </c>
      <c r="R751">
        <v>177.14</v>
      </c>
    </row>
    <row r="752" spans="1:18" x14ac:dyDescent="0.3">
      <c r="A752" t="s">
        <v>1565</v>
      </c>
      <c r="B752" t="s">
        <v>1566</v>
      </c>
      <c r="C752" t="s">
        <v>20</v>
      </c>
      <c r="D752" t="s">
        <v>59</v>
      </c>
      <c r="E752" s="4">
        <v>45152</v>
      </c>
      <c r="F752" t="s">
        <v>22</v>
      </c>
      <c r="G752" t="s">
        <v>49</v>
      </c>
      <c r="H752" t="s">
        <v>75</v>
      </c>
      <c r="I752" t="s">
        <v>92</v>
      </c>
      <c r="J752">
        <v>8</v>
      </c>
      <c r="K752">
        <v>1469</v>
      </c>
      <c r="L752">
        <v>2899.31</v>
      </c>
      <c r="M752">
        <v>37069</v>
      </c>
      <c r="N752" t="s">
        <v>36</v>
      </c>
      <c r="O752" t="s">
        <v>56</v>
      </c>
      <c r="P752" t="s">
        <v>28</v>
      </c>
      <c r="Q752">
        <v>3</v>
      </c>
      <c r="R752">
        <v>87.99</v>
      </c>
    </row>
    <row r="753" spans="1:18" x14ac:dyDescent="0.3">
      <c r="A753" t="s">
        <v>1567</v>
      </c>
      <c r="B753" t="s">
        <v>1568</v>
      </c>
      <c r="C753" t="s">
        <v>41</v>
      </c>
      <c r="D753" t="s">
        <v>109</v>
      </c>
      <c r="E753" s="4">
        <v>42178</v>
      </c>
      <c r="F753" t="s">
        <v>60</v>
      </c>
      <c r="G753" t="s">
        <v>102</v>
      </c>
      <c r="H753" t="s">
        <v>55</v>
      </c>
      <c r="I753" t="s">
        <v>51</v>
      </c>
      <c r="J753">
        <v>5</v>
      </c>
      <c r="K753">
        <v>485</v>
      </c>
      <c r="L753">
        <v>4268.08</v>
      </c>
      <c r="M753">
        <v>14351</v>
      </c>
      <c r="N753" t="s">
        <v>61</v>
      </c>
      <c r="O753" t="s">
        <v>62</v>
      </c>
      <c r="P753" t="s">
        <v>45</v>
      </c>
      <c r="Q753">
        <v>1</v>
      </c>
      <c r="R753">
        <v>146.85</v>
      </c>
    </row>
    <row r="754" spans="1:18" x14ac:dyDescent="0.3">
      <c r="A754" t="s">
        <v>1569</v>
      </c>
      <c r="B754" t="s">
        <v>1570</v>
      </c>
      <c r="C754" t="s">
        <v>31</v>
      </c>
      <c r="D754" t="s">
        <v>42</v>
      </c>
      <c r="E754" s="4">
        <v>46111</v>
      </c>
      <c r="F754" t="s">
        <v>43</v>
      </c>
      <c r="G754" t="s">
        <v>23</v>
      </c>
      <c r="H754" t="s">
        <v>50</v>
      </c>
      <c r="I754" t="s">
        <v>34</v>
      </c>
      <c r="J754">
        <v>0</v>
      </c>
      <c r="K754">
        <v>265</v>
      </c>
      <c r="L754">
        <v>624.11</v>
      </c>
      <c r="M754">
        <v>38315</v>
      </c>
      <c r="N754" t="s">
        <v>61</v>
      </c>
      <c r="O754" t="s">
        <v>37</v>
      </c>
      <c r="P754" t="s">
        <v>25</v>
      </c>
      <c r="Q754">
        <v>45</v>
      </c>
      <c r="R754">
        <v>92.47</v>
      </c>
    </row>
    <row r="755" spans="1:18" x14ac:dyDescent="0.3">
      <c r="A755" t="s">
        <v>1571</v>
      </c>
      <c r="B755" t="s">
        <v>1572</v>
      </c>
      <c r="C755" t="s">
        <v>97</v>
      </c>
      <c r="D755" t="s">
        <v>21</v>
      </c>
      <c r="E755" s="4">
        <v>45212</v>
      </c>
      <c r="F755" t="s">
        <v>43</v>
      </c>
      <c r="G755" t="s">
        <v>49</v>
      </c>
      <c r="H755" t="s">
        <v>75</v>
      </c>
      <c r="I755" t="s">
        <v>92</v>
      </c>
      <c r="J755">
        <v>5</v>
      </c>
      <c r="K755">
        <v>445</v>
      </c>
      <c r="L755">
        <v>3316.19</v>
      </c>
      <c r="M755">
        <v>45093</v>
      </c>
      <c r="N755" t="s">
        <v>36</v>
      </c>
      <c r="O755" t="s">
        <v>37</v>
      </c>
      <c r="P755" t="s">
        <v>25</v>
      </c>
      <c r="Q755">
        <v>11</v>
      </c>
      <c r="R755">
        <v>50.93</v>
      </c>
    </row>
    <row r="756" spans="1:18" x14ac:dyDescent="0.3">
      <c r="A756" t="s">
        <v>1573</v>
      </c>
      <c r="B756" t="s">
        <v>1574</v>
      </c>
      <c r="C756" t="s">
        <v>20</v>
      </c>
      <c r="D756" t="s">
        <v>32</v>
      </c>
      <c r="E756" s="4">
        <v>44871</v>
      </c>
      <c r="F756" t="s">
        <v>43</v>
      </c>
      <c r="G756" t="s">
        <v>23</v>
      </c>
      <c r="H756" t="s">
        <v>75</v>
      </c>
      <c r="I756" t="s">
        <v>25</v>
      </c>
      <c r="J756">
        <v>1</v>
      </c>
      <c r="K756">
        <v>789</v>
      </c>
      <c r="L756">
        <v>2621.74</v>
      </c>
      <c r="M756">
        <v>9826</v>
      </c>
      <c r="N756" t="s">
        <v>26</v>
      </c>
      <c r="O756" t="s">
        <v>56</v>
      </c>
      <c r="P756" t="s">
        <v>38</v>
      </c>
      <c r="Q756">
        <v>49</v>
      </c>
      <c r="R756">
        <v>105.23</v>
      </c>
    </row>
    <row r="757" spans="1:18" x14ac:dyDescent="0.3">
      <c r="A757" t="s">
        <v>1575</v>
      </c>
      <c r="B757" t="s">
        <v>1576</v>
      </c>
      <c r="C757" t="s">
        <v>97</v>
      </c>
      <c r="D757" t="s">
        <v>42</v>
      </c>
      <c r="E757" s="4">
        <v>45557</v>
      </c>
      <c r="F757" t="s">
        <v>60</v>
      </c>
      <c r="G757" t="s">
        <v>44</v>
      </c>
      <c r="H757" t="s">
        <v>55</v>
      </c>
      <c r="I757" t="s">
        <v>92</v>
      </c>
      <c r="J757">
        <v>8</v>
      </c>
      <c r="K757">
        <v>1280</v>
      </c>
      <c r="L757">
        <v>2918.5</v>
      </c>
      <c r="M757">
        <v>21565</v>
      </c>
      <c r="N757" t="s">
        <v>26</v>
      </c>
      <c r="O757" t="s">
        <v>27</v>
      </c>
      <c r="P757" t="s">
        <v>52</v>
      </c>
      <c r="Q757">
        <v>44</v>
      </c>
      <c r="R757">
        <v>21.75</v>
      </c>
    </row>
    <row r="758" spans="1:18" x14ac:dyDescent="0.3">
      <c r="A758" t="s">
        <v>1577</v>
      </c>
      <c r="B758" t="s">
        <v>1578</v>
      </c>
      <c r="C758" t="s">
        <v>41</v>
      </c>
      <c r="D758" t="s">
        <v>21</v>
      </c>
      <c r="E758" s="4">
        <v>45914</v>
      </c>
      <c r="F758" t="s">
        <v>69</v>
      </c>
      <c r="G758" t="s">
        <v>44</v>
      </c>
      <c r="H758" t="s">
        <v>55</v>
      </c>
      <c r="I758" t="s">
        <v>92</v>
      </c>
      <c r="J758">
        <v>8</v>
      </c>
      <c r="K758">
        <v>67</v>
      </c>
      <c r="L758">
        <v>1858.63</v>
      </c>
      <c r="M758">
        <v>18098</v>
      </c>
      <c r="N758" t="s">
        <v>61</v>
      </c>
      <c r="O758" t="s">
        <v>62</v>
      </c>
      <c r="P758" t="s">
        <v>38</v>
      </c>
      <c r="Q758">
        <v>25</v>
      </c>
      <c r="R758">
        <v>224.04</v>
      </c>
    </row>
    <row r="759" spans="1:18" x14ac:dyDescent="0.3">
      <c r="A759" t="s">
        <v>1579</v>
      </c>
      <c r="B759" t="s">
        <v>1580</v>
      </c>
      <c r="C759" t="s">
        <v>41</v>
      </c>
      <c r="D759" t="s">
        <v>42</v>
      </c>
      <c r="E759" s="4">
        <v>44379</v>
      </c>
      <c r="F759" t="s">
        <v>69</v>
      </c>
      <c r="G759" t="s">
        <v>83</v>
      </c>
      <c r="H759" t="s">
        <v>50</v>
      </c>
      <c r="I759" t="s">
        <v>35</v>
      </c>
      <c r="J759">
        <v>2</v>
      </c>
      <c r="K759">
        <v>821</v>
      </c>
      <c r="L759">
        <v>1159.46</v>
      </c>
      <c r="M759">
        <v>19888</v>
      </c>
      <c r="N759" t="s">
        <v>26</v>
      </c>
      <c r="O759" t="s">
        <v>27</v>
      </c>
      <c r="P759" t="s">
        <v>25</v>
      </c>
      <c r="Q759">
        <v>29</v>
      </c>
      <c r="R759">
        <v>59.67</v>
      </c>
    </row>
    <row r="760" spans="1:18" x14ac:dyDescent="0.3">
      <c r="A760" t="s">
        <v>1581</v>
      </c>
      <c r="B760" t="s">
        <v>1582</v>
      </c>
      <c r="C760" t="s">
        <v>79</v>
      </c>
      <c r="D760" t="s">
        <v>32</v>
      </c>
      <c r="E760" s="4">
        <v>45338</v>
      </c>
      <c r="F760" t="s">
        <v>69</v>
      </c>
      <c r="G760" t="s">
        <v>44</v>
      </c>
      <c r="H760" t="s">
        <v>24</v>
      </c>
      <c r="I760" t="s">
        <v>25</v>
      </c>
      <c r="J760">
        <v>4</v>
      </c>
      <c r="K760">
        <v>327</v>
      </c>
      <c r="L760">
        <v>1893</v>
      </c>
      <c r="M760">
        <v>38627</v>
      </c>
      <c r="N760" t="s">
        <v>36</v>
      </c>
      <c r="O760" t="s">
        <v>37</v>
      </c>
      <c r="P760" t="s">
        <v>25</v>
      </c>
      <c r="Q760">
        <v>13</v>
      </c>
      <c r="R760">
        <v>104.07</v>
      </c>
    </row>
    <row r="761" spans="1:18" x14ac:dyDescent="0.3">
      <c r="A761" t="s">
        <v>1583</v>
      </c>
      <c r="B761" t="s">
        <v>1584</v>
      </c>
      <c r="C761" t="s">
        <v>116</v>
      </c>
      <c r="D761" t="s">
        <v>32</v>
      </c>
      <c r="E761" s="4">
        <v>45896</v>
      </c>
      <c r="F761" t="s">
        <v>43</v>
      </c>
      <c r="G761" t="s">
        <v>102</v>
      </c>
      <c r="H761" t="s">
        <v>50</v>
      </c>
      <c r="I761" t="s">
        <v>25</v>
      </c>
      <c r="J761">
        <v>5</v>
      </c>
      <c r="K761">
        <v>1481</v>
      </c>
      <c r="L761">
        <v>3145.27</v>
      </c>
      <c r="M761">
        <v>11071</v>
      </c>
      <c r="N761" t="s">
        <v>26</v>
      </c>
      <c r="O761" t="s">
        <v>37</v>
      </c>
      <c r="P761" t="s">
        <v>52</v>
      </c>
      <c r="Q761">
        <v>49</v>
      </c>
      <c r="R761">
        <v>68.28</v>
      </c>
    </row>
    <row r="762" spans="1:18" x14ac:dyDescent="0.3">
      <c r="A762" t="s">
        <v>1585</v>
      </c>
      <c r="B762" t="s">
        <v>1586</v>
      </c>
      <c r="C762" t="s">
        <v>116</v>
      </c>
      <c r="D762" t="s">
        <v>42</v>
      </c>
      <c r="E762" s="4">
        <v>45876</v>
      </c>
      <c r="F762" t="s">
        <v>22</v>
      </c>
      <c r="G762" t="s">
        <v>23</v>
      </c>
      <c r="H762" t="s">
        <v>55</v>
      </c>
      <c r="I762" t="s">
        <v>34</v>
      </c>
      <c r="J762">
        <v>3</v>
      </c>
      <c r="K762">
        <v>847</v>
      </c>
      <c r="L762">
        <v>2467.34</v>
      </c>
      <c r="M762">
        <v>17094</v>
      </c>
      <c r="N762" t="s">
        <v>61</v>
      </c>
      <c r="O762" t="s">
        <v>37</v>
      </c>
      <c r="P762" t="s">
        <v>51</v>
      </c>
      <c r="Q762">
        <v>36</v>
      </c>
      <c r="R762">
        <v>38.56</v>
      </c>
    </row>
    <row r="763" spans="1:18" x14ac:dyDescent="0.3">
      <c r="A763" t="s">
        <v>1587</v>
      </c>
      <c r="B763" t="s">
        <v>1588</v>
      </c>
      <c r="C763" t="s">
        <v>41</v>
      </c>
      <c r="D763" t="s">
        <v>59</v>
      </c>
      <c r="E763" s="4">
        <v>44635</v>
      </c>
      <c r="F763" t="s">
        <v>69</v>
      </c>
      <c r="G763" t="s">
        <v>102</v>
      </c>
      <c r="H763" t="s">
        <v>55</v>
      </c>
      <c r="I763" t="s">
        <v>35</v>
      </c>
      <c r="J763">
        <v>1</v>
      </c>
      <c r="K763">
        <v>882</v>
      </c>
      <c r="L763">
        <v>3784.47</v>
      </c>
      <c r="M763">
        <v>14304</v>
      </c>
      <c r="N763" t="s">
        <v>36</v>
      </c>
      <c r="O763" t="s">
        <v>27</v>
      </c>
      <c r="P763" t="s">
        <v>25</v>
      </c>
      <c r="Q763">
        <v>42</v>
      </c>
      <c r="R763">
        <v>17.73</v>
      </c>
    </row>
    <row r="764" spans="1:18" x14ac:dyDescent="0.3">
      <c r="A764" t="s">
        <v>1589</v>
      </c>
      <c r="B764" t="s">
        <v>1590</v>
      </c>
      <c r="C764" t="s">
        <v>68</v>
      </c>
      <c r="D764" t="s">
        <v>82</v>
      </c>
      <c r="E764" s="4">
        <v>45448</v>
      </c>
      <c r="F764" t="s">
        <v>22</v>
      </c>
      <c r="G764" t="s">
        <v>83</v>
      </c>
      <c r="H764" t="s">
        <v>50</v>
      </c>
      <c r="I764" t="s">
        <v>34</v>
      </c>
      <c r="J764">
        <v>1</v>
      </c>
      <c r="K764">
        <v>354</v>
      </c>
      <c r="L764">
        <v>4653.38</v>
      </c>
      <c r="M764">
        <v>6795</v>
      </c>
      <c r="N764" t="s">
        <v>26</v>
      </c>
      <c r="O764" t="s">
        <v>62</v>
      </c>
      <c r="P764" t="s">
        <v>51</v>
      </c>
      <c r="Q764">
        <v>34</v>
      </c>
      <c r="R764">
        <v>186.86</v>
      </c>
    </row>
    <row r="765" spans="1:18" x14ac:dyDescent="0.3">
      <c r="A765" t="s">
        <v>1591</v>
      </c>
      <c r="B765" t="s">
        <v>1592</v>
      </c>
      <c r="C765" t="s">
        <v>68</v>
      </c>
      <c r="D765" t="s">
        <v>82</v>
      </c>
      <c r="E765" s="4">
        <v>41668</v>
      </c>
      <c r="F765" t="s">
        <v>43</v>
      </c>
      <c r="G765" t="s">
        <v>49</v>
      </c>
      <c r="H765" t="s">
        <v>75</v>
      </c>
      <c r="I765" t="s">
        <v>92</v>
      </c>
      <c r="J765">
        <v>6</v>
      </c>
      <c r="K765">
        <v>855</v>
      </c>
      <c r="L765">
        <v>4732.26</v>
      </c>
      <c r="M765">
        <v>37902</v>
      </c>
      <c r="N765" t="s">
        <v>26</v>
      </c>
      <c r="O765" t="s">
        <v>27</v>
      </c>
      <c r="P765" t="s">
        <v>38</v>
      </c>
      <c r="Q765">
        <v>4</v>
      </c>
      <c r="R765">
        <v>169.76</v>
      </c>
    </row>
    <row r="766" spans="1:18" x14ac:dyDescent="0.3">
      <c r="A766" t="s">
        <v>1593</v>
      </c>
      <c r="B766" t="s">
        <v>1594</v>
      </c>
      <c r="C766" t="s">
        <v>20</v>
      </c>
      <c r="D766" t="s">
        <v>21</v>
      </c>
      <c r="E766" s="4">
        <v>42744</v>
      </c>
      <c r="F766" t="s">
        <v>43</v>
      </c>
      <c r="G766" t="s">
        <v>102</v>
      </c>
      <c r="H766" t="s">
        <v>50</v>
      </c>
      <c r="I766" t="s">
        <v>76</v>
      </c>
      <c r="J766">
        <v>3</v>
      </c>
      <c r="K766">
        <v>9</v>
      </c>
      <c r="L766">
        <v>2759.09</v>
      </c>
      <c r="M766">
        <v>44650</v>
      </c>
      <c r="N766" t="s">
        <v>36</v>
      </c>
      <c r="O766" t="s">
        <v>62</v>
      </c>
      <c r="P766" t="s">
        <v>38</v>
      </c>
      <c r="Q766">
        <v>39</v>
      </c>
      <c r="R766">
        <v>2.95</v>
      </c>
    </row>
    <row r="767" spans="1:18" x14ac:dyDescent="0.3">
      <c r="A767" t="s">
        <v>1595</v>
      </c>
      <c r="B767" t="s">
        <v>1596</v>
      </c>
      <c r="C767" t="s">
        <v>116</v>
      </c>
      <c r="D767" t="s">
        <v>21</v>
      </c>
      <c r="E767" s="4">
        <v>42825</v>
      </c>
      <c r="F767" t="s">
        <v>43</v>
      </c>
      <c r="G767" t="s">
        <v>33</v>
      </c>
      <c r="H767" t="s">
        <v>24</v>
      </c>
      <c r="I767" t="s">
        <v>76</v>
      </c>
      <c r="J767">
        <v>7</v>
      </c>
      <c r="K767">
        <v>1294</v>
      </c>
      <c r="L767">
        <v>623.66999999999996</v>
      </c>
      <c r="M767">
        <v>5927</v>
      </c>
      <c r="N767" t="s">
        <v>61</v>
      </c>
      <c r="O767" t="s">
        <v>62</v>
      </c>
      <c r="P767" t="s">
        <v>25</v>
      </c>
      <c r="Q767">
        <v>23</v>
      </c>
      <c r="R767">
        <v>31.29</v>
      </c>
    </row>
    <row r="768" spans="1:18" x14ac:dyDescent="0.3">
      <c r="A768" t="s">
        <v>1597</v>
      </c>
      <c r="B768" t="s">
        <v>1598</v>
      </c>
      <c r="C768" t="s">
        <v>41</v>
      </c>
      <c r="D768" t="s">
        <v>42</v>
      </c>
      <c r="E768" s="4">
        <v>42965</v>
      </c>
      <c r="F768" t="s">
        <v>22</v>
      </c>
      <c r="G768" t="s">
        <v>33</v>
      </c>
      <c r="H768" t="s">
        <v>50</v>
      </c>
      <c r="I768" t="s">
        <v>92</v>
      </c>
      <c r="J768">
        <v>0</v>
      </c>
      <c r="K768">
        <v>1328</v>
      </c>
      <c r="L768">
        <v>4744.83</v>
      </c>
      <c r="M768">
        <v>49088</v>
      </c>
      <c r="N768" t="s">
        <v>61</v>
      </c>
      <c r="O768" t="s">
        <v>56</v>
      </c>
      <c r="P768" t="s">
        <v>28</v>
      </c>
      <c r="Q768">
        <v>18</v>
      </c>
      <c r="R768">
        <v>200.45</v>
      </c>
    </row>
    <row r="769" spans="1:18" x14ac:dyDescent="0.3">
      <c r="A769" t="s">
        <v>1599</v>
      </c>
      <c r="B769" t="s">
        <v>1600</v>
      </c>
      <c r="C769" t="s">
        <v>97</v>
      </c>
      <c r="D769" t="s">
        <v>42</v>
      </c>
      <c r="E769" s="4">
        <v>41034</v>
      </c>
      <c r="F769" t="s">
        <v>60</v>
      </c>
      <c r="G769" t="s">
        <v>44</v>
      </c>
      <c r="H769" t="s">
        <v>55</v>
      </c>
      <c r="I769" t="s">
        <v>35</v>
      </c>
      <c r="J769">
        <v>6</v>
      </c>
      <c r="K769">
        <v>26</v>
      </c>
      <c r="L769">
        <v>1885.19</v>
      </c>
      <c r="M769">
        <v>10181</v>
      </c>
      <c r="N769" t="s">
        <v>61</v>
      </c>
      <c r="O769" t="s">
        <v>37</v>
      </c>
      <c r="P769" t="s">
        <v>25</v>
      </c>
      <c r="Q769">
        <v>29</v>
      </c>
      <c r="R769">
        <v>155.79</v>
      </c>
    </row>
    <row r="770" spans="1:18" x14ac:dyDescent="0.3">
      <c r="A770" t="s">
        <v>1601</v>
      </c>
      <c r="B770" t="s">
        <v>1602</v>
      </c>
      <c r="C770" t="s">
        <v>31</v>
      </c>
      <c r="D770" t="s">
        <v>32</v>
      </c>
      <c r="E770" s="4">
        <v>41972</v>
      </c>
      <c r="F770" t="s">
        <v>65</v>
      </c>
      <c r="G770" t="s">
        <v>49</v>
      </c>
      <c r="H770" t="s">
        <v>34</v>
      </c>
      <c r="I770" t="s">
        <v>25</v>
      </c>
      <c r="J770">
        <v>3</v>
      </c>
      <c r="K770">
        <v>384</v>
      </c>
      <c r="L770">
        <v>4816.0200000000004</v>
      </c>
      <c r="M770">
        <v>26046</v>
      </c>
      <c r="N770" t="s">
        <v>36</v>
      </c>
      <c r="O770" t="s">
        <v>56</v>
      </c>
      <c r="P770" t="s">
        <v>52</v>
      </c>
      <c r="Q770">
        <v>23</v>
      </c>
      <c r="R770">
        <v>74.59</v>
      </c>
    </row>
    <row r="771" spans="1:18" x14ac:dyDescent="0.3">
      <c r="A771" t="s">
        <v>1603</v>
      </c>
      <c r="B771" t="s">
        <v>1604</v>
      </c>
      <c r="C771" t="s">
        <v>97</v>
      </c>
      <c r="D771" t="s">
        <v>42</v>
      </c>
      <c r="E771" s="4">
        <v>44104</v>
      </c>
      <c r="F771" t="s">
        <v>48</v>
      </c>
      <c r="G771" t="s">
        <v>83</v>
      </c>
      <c r="H771" t="s">
        <v>24</v>
      </c>
      <c r="I771" t="s">
        <v>51</v>
      </c>
      <c r="J771">
        <v>5</v>
      </c>
      <c r="K771">
        <v>815</v>
      </c>
      <c r="L771">
        <v>2845.22</v>
      </c>
      <c r="M771">
        <v>6294</v>
      </c>
      <c r="N771" t="s">
        <v>36</v>
      </c>
      <c r="O771" t="s">
        <v>37</v>
      </c>
      <c r="P771" t="s">
        <v>52</v>
      </c>
      <c r="Q771">
        <v>7</v>
      </c>
      <c r="R771">
        <v>151.71</v>
      </c>
    </row>
    <row r="772" spans="1:18" x14ac:dyDescent="0.3">
      <c r="A772" t="s">
        <v>1605</v>
      </c>
      <c r="B772" t="s">
        <v>1606</v>
      </c>
      <c r="C772" t="s">
        <v>68</v>
      </c>
      <c r="D772" t="s">
        <v>21</v>
      </c>
      <c r="E772" s="4">
        <v>45324</v>
      </c>
      <c r="F772" t="s">
        <v>43</v>
      </c>
      <c r="G772" t="s">
        <v>83</v>
      </c>
      <c r="H772" t="s">
        <v>70</v>
      </c>
      <c r="I772" t="s">
        <v>76</v>
      </c>
      <c r="J772">
        <v>8</v>
      </c>
      <c r="K772">
        <v>514</v>
      </c>
      <c r="L772">
        <v>4032.42</v>
      </c>
      <c r="M772">
        <v>32998</v>
      </c>
      <c r="N772" t="s">
        <v>36</v>
      </c>
      <c r="O772" t="s">
        <v>56</v>
      </c>
      <c r="P772" t="s">
        <v>45</v>
      </c>
      <c r="Q772">
        <v>39</v>
      </c>
      <c r="R772">
        <v>36.18</v>
      </c>
    </row>
    <row r="773" spans="1:18" x14ac:dyDescent="0.3">
      <c r="A773" t="s">
        <v>1607</v>
      </c>
      <c r="B773" t="s">
        <v>1608</v>
      </c>
      <c r="C773" t="s">
        <v>20</v>
      </c>
      <c r="D773" t="s">
        <v>32</v>
      </c>
      <c r="E773" s="4">
        <v>40260</v>
      </c>
      <c r="F773" t="s">
        <v>60</v>
      </c>
      <c r="G773" t="s">
        <v>33</v>
      </c>
      <c r="H773" t="s">
        <v>75</v>
      </c>
      <c r="I773" t="s">
        <v>51</v>
      </c>
      <c r="J773">
        <v>1</v>
      </c>
      <c r="K773">
        <v>195</v>
      </c>
      <c r="L773">
        <v>4860.67</v>
      </c>
      <c r="M773">
        <v>18899</v>
      </c>
      <c r="N773" t="s">
        <v>61</v>
      </c>
      <c r="O773" t="s">
        <v>37</v>
      </c>
      <c r="P773" t="s">
        <v>28</v>
      </c>
      <c r="Q773">
        <v>6</v>
      </c>
      <c r="R773">
        <v>5.58</v>
      </c>
    </row>
    <row r="774" spans="1:18" x14ac:dyDescent="0.3">
      <c r="A774" t="s">
        <v>1609</v>
      </c>
      <c r="B774" t="s">
        <v>1610</v>
      </c>
      <c r="C774" t="s">
        <v>41</v>
      </c>
      <c r="D774" t="s">
        <v>59</v>
      </c>
      <c r="E774" s="4">
        <v>40316</v>
      </c>
      <c r="F774" t="s">
        <v>69</v>
      </c>
      <c r="G774" t="s">
        <v>33</v>
      </c>
      <c r="H774" t="s">
        <v>55</v>
      </c>
      <c r="I774" t="s">
        <v>51</v>
      </c>
      <c r="J774">
        <v>3</v>
      </c>
      <c r="K774">
        <v>254</v>
      </c>
      <c r="L774">
        <v>3327.93</v>
      </c>
      <c r="M774">
        <v>49988</v>
      </c>
      <c r="N774" t="s">
        <v>36</v>
      </c>
      <c r="O774" t="s">
        <v>27</v>
      </c>
      <c r="P774" t="s">
        <v>51</v>
      </c>
      <c r="Q774">
        <v>35</v>
      </c>
      <c r="R774">
        <v>155.13</v>
      </c>
    </row>
    <row r="775" spans="1:18" x14ac:dyDescent="0.3">
      <c r="A775" t="s">
        <v>1611</v>
      </c>
      <c r="B775" t="s">
        <v>1612</v>
      </c>
      <c r="C775" t="s">
        <v>31</v>
      </c>
      <c r="D775" t="s">
        <v>42</v>
      </c>
      <c r="E775" s="4">
        <v>42696</v>
      </c>
      <c r="F775" t="s">
        <v>48</v>
      </c>
      <c r="G775" t="s">
        <v>23</v>
      </c>
      <c r="H775" t="s">
        <v>50</v>
      </c>
      <c r="I775" t="s">
        <v>92</v>
      </c>
      <c r="J775">
        <v>6</v>
      </c>
      <c r="K775">
        <v>732</v>
      </c>
      <c r="L775">
        <v>3283.98</v>
      </c>
      <c r="M775">
        <v>30655</v>
      </c>
      <c r="N775" t="s">
        <v>36</v>
      </c>
      <c r="O775" t="s">
        <v>56</v>
      </c>
      <c r="P775" t="s">
        <v>51</v>
      </c>
      <c r="Q775">
        <v>41</v>
      </c>
      <c r="R775">
        <v>116.04</v>
      </c>
    </row>
    <row r="776" spans="1:18" x14ac:dyDescent="0.3">
      <c r="A776" t="s">
        <v>1613</v>
      </c>
      <c r="B776" t="s">
        <v>1614</v>
      </c>
      <c r="C776" t="s">
        <v>41</v>
      </c>
      <c r="D776" t="s">
        <v>42</v>
      </c>
      <c r="E776" s="4">
        <v>44257</v>
      </c>
      <c r="F776" t="s">
        <v>22</v>
      </c>
      <c r="G776" t="s">
        <v>44</v>
      </c>
      <c r="H776" t="s">
        <v>24</v>
      </c>
      <c r="I776" t="s">
        <v>92</v>
      </c>
      <c r="J776">
        <v>8</v>
      </c>
      <c r="K776">
        <v>1322</v>
      </c>
      <c r="L776">
        <v>3186.91</v>
      </c>
      <c r="M776">
        <v>20674</v>
      </c>
      <c r="N776" t="s">
        <v>61</v>
      </c>
      <c r="O776" t="s">
        <v>56</v>
      </c>
      <c r="P776" t="s">
        <v>51</v>
      </c>
      <c r="Q776">
        <v>18</v>
      </c>
      <c r="R776">
        <v>81.63</v>
      </c>
    </row>
    <row r="777" spans="1:18" x14ac:dyDescent="0.3">
      <c r="A777" t="s">
        <v>1615</v>
      </c>
      <c r="B777" t="s">
        <v>1616</v>
      </c>
      <c r="C777" t="s">
        <v>68</v>
      </c>
      <c r="D777" t="s">
        <v>32</v>
      </c>
      <c r="E777" s="4">
        <v>42384</v>
      </c>
      <c r="F777" t="s">
        <v>69</v>
      </c>
      <c r="G777" t="s">
        <v>33</v>
      </c>
      <c r="H777" t="s">
        <v>70</v>
      </c>
      <c r="I777" t="s">
        <v>92</v>
      </c>
      <c r="J777">
        <v>7</v>
      </c>
      <c r="K777">
        <v>1499</v>
      </c>
      <c r="L777">
        <v>2698.15</v>
      </c>
      <c r="M777">
        <v>10950</v>
      </c>
      <c r="N777" t="s">
        <v>61</v>
      </c>
      <c r="O777" t="s">
        <v>37</v>
      </c>
      <c r="P777" t="s">
        <v>25</v>
      </c>
      <c r="Q777">
        <v>16</v>
      </c>
      <c r="R777">
        <v>176.96</v>
      </c>
    </row>
    <row r="778" spans="1:18" x14ac:dyDescent="0.3">
      <c r="A778" t="s">
        <v>1617</v>
      </c>
      <c r="B778" t="s">
        <v>1618</v>
      </c>
      <c r="C778" t="s">
        <v>31</v>
      </c>
      <c r="D778" t="s">
        <v>42</v>
      </c>
      <c r="E778" s="4">
        <v>45575</v>
      </c>
      <c r="F778" t="s">
        <v>48</v>
      </c>
      <c r="G778" t="s">
        <v>102</v>
      </c>
      <c r="H778" t="s">
        <v>24</v>
      </c>
      <c r="I778" t="s">
        <v>25</v>
      </c>
      <c r="J778">
        <v>0</v>
      </c>
      <c r="K778">
        <v>1267</v>
      </c>
      <c r="L778">
        <v>2507.23</v>
      </c>
      <c r="M778">
        <v>21546</v>
      </c>
      <c r="N778" t="s">
        <v>61</v>
      </c>
      <c r="O778" t="s">
        <v>56</v>
      </c>
      <c r="P778" t="s">
        <v>25</v>
      </c>
      <c r="Q778">
        <v>20</v>
      </c>
      <c r="R778">
        <v>23.24</v>
      </c>
    </row>
    <row r="779" spans="1:18" x14ac:dyDescent="0.3">
      <c r="A779" t="s">
        <v>1619</v>
      </c>
      <c r="B779" t="s">
        <v>1620</v>
      </c>
      <c r="C779" t="s">
        <v>20</v>
      </c>
      <c r="D779" t="s">
        <v>42</v>
      </c>
      <c r="E779" s="4">
        <v>42653</v>
      </c>
      <c r="F779" t="s">
        <v>48</v>
      </c>
      <c r="G779" t="s">
        <v>23</v>
      </c>
      <c r="H779" t="s">
        <v>70</v>
      </c>
      <c r="I779" t="s">
        <v>35</v>
      </c>
      <c r="J779">
        <v>4</v>
      </c>
      <c r="K779">
        <v>876</v>
      </c>
      <c r="L779">
        <v>230.99</v>
      </c>
      <c r="M779">
        <v>25415</v>
      </c>
      <c r="N779" t="s">
        <v>26</v>
      </c>
      <c r="O779" t="s">
        <v>62</v>
      </c>
      <c r="P779" t="s">
        <v>45</v>
      </c>
      <c r="Q779">
        <v>45</v>
      </c>
      <c r="R779">
        <v>81.58</v>
      </c>
    </row>
    <row r="780" spans="1:18" x14ac:dyDescent="0.3">
      <c r="A780" t="s">
        <v>1621</v>
      </c>
      <c r="B780" t="s">
        <v>1622</v>
      </c>
      <c r="C780" t="s">
        <v>31</v>
      </c>
      <c r="D780" t="s">
        <v>32</v>
      </c>
      <c r="E780" s="4">
        <v>43015</v>
      </c>
      <c r="F780" t="s">
        <v>60</v>
      </c>
      <c r="G780" t="s">
        <v>44</v>
      </c>
      <c r="H780" t="s">
        <v>55</v>
      </c>
      <c r="I780" t="s">
        <v>92</v>
      </c>
      <c r="J780">
        <v>0</v>
      </c>
      <c r="K780">
        <v>653</v>
      </c>
      <c r="L780">
        <v>4545.46</v>
      </c>
      <c r="M780">
        <v>4873</v>
      </c>
      <c r="N780" t="s">
        <v>61</v>
      </c>
      <c r="O780" t="s">
        <v>27</v>
      </c>
      <c r="P780" t="s">
        <v>25</v>
      </c>
      <c r="Q780">
        <v>22</v>
      </c>
      <c r="R780">
        <v>230.27</v>
      </c>
    </row>
    <row r="781" spans="1:18" x14ac:dyDescent="0.3">
      <c r="A781" t="s">
        <v>1623</v>
      </c>
      <c r="B781" t="s">
        <v>1624</v>
      </c>
      <c r="C781" t="s">
        <v>116</v>
      </c>
      <c r="D781" t="s">
        <v>42</v>
      </c>
      <c r="E781" s="4">
        <v>42774</v>
      </c>
      <c r="F781" t="s">
        <v>48</v>
      </c>
      <c r="G781" t="s">
        <v>23</v>
      </c>
      <c r="H781" t="s">
        <v>55</v>
      </c>
      <c r="I781" t="s">
        <v>51</v>
      </c>
      <c r="J781">
        <v>3</v>
      </c>
      <c r="K781">
        <v>1284</v>
      </c>
      <c r="L781">
        <v>2521.67</v>
      </c>
      <c r="M781">
        <v>2242</v>
      </c>
      <c r="N781" t="s">
        <v>26</v>
      </c>
      <c r="O781" t="s">
        <v>27</v>
      </c>
      <c r="P781" t="s">
        <v>45</v>
      </c>
      <c r="Q781">
        <v>25</v>
      </c>
      <c r="R781">
        <v>92.78</v>
      </c>
    </row>
    <row r="782" spans="1:18" x14ac:dyDescent="0.3">
      <c r="A782" t="s">
        <v>1625</v>
      </c>
      <c r="B782" t="s">
        <v>1626</v>
      </c>
      <c r="C782" t="s">
        <v>79</v>
      </c>
      <c r="D782" t="s">
        <v>21</v>
      </c>
      <c r="E782" s="4">
        <v>42561</v>
      </c>
      <c r="F782" t="s">
        <v>60</v>
      </c>
      <c r="G782" t="s">
        <v>23</v>
      </c>
      <c r="H782" t="s">
        <v>70</v>
      </c>
      <c r="I782" t="s">
        <v>92</v>
      </c>
      <c r="J782">
        <v>8</v>
      </c>
      <c r="K782">
        <v>23</v>
      </c>
      <c r="L782">
        <v>3655.44</v>
      </c>
      <c r="M782">
        <v>49087</v>
      </c>
      <c r="N782" t="s">
        <v>61</v>
      </c>
      <c r="O782" t="s">
        <v>37</v>
      </c>
      <c r="P782" t="s">
        <v>45</v>
      </c>
      <c r="Q782">
        <v>45</v>
      </c>
      <c r="R782">
        <v>76.78</v>
      </c>
    </row>
    <row r="783" spans="1:18" x14ac:dyDescent="0.3">
      <c r="A783" t="s">
        <v>1627</v>
      </c>
      <c r="B783" t="s">
        <v>1628</v>
      </c>
      <c r="C783" t="s">
        <v>116</v>
      </c>
      <c r="D783" t="s">
        <v>59</v>
      </c>
      <c r="E783" s="4">
        <v>42423</v>
      </c>
      <c r="F783" t="s">
        <v>22</v>
      </c>
      <c r="G783" t="s">
        <v>83</v>
      </c>
      <c r="H783" t="s">
        <v>70</v>
      </c>
      <c r="I783" t="s">
        <v>35</v>
      </c>
      <c r="J783">
        <v>7</v>
      </c>
      <c r="K783">
        <v>1283</v>
      </c>
      <c r="L783">
        <v>4425.84</v>
      </c>
      <c r="M783">
        <v>29079</v>
      </c>
      <c r="N783" t="s">
        <v>61</v>
      </c>
      <c r="O783" t="s">
        <v>37</v>
      </c>
      <c r="P783" t="s">
        <v>52</v>
      </c>
      <c r="Q783">
        <v>38</v>
      </c>
      <c r="R783">
        <v>122.87</v>
      </c>
    </row>
    <row r="784" spans="1:18" x14ac:dyDescent="0.3">
      <c r="A784" t="s">
        <v>1629</v>
      </c>
      <c r="B784" t="s">
        <v>1630</v>
      </c>
      <c r="C784" t="s">
        <v>79</v>
      </c>
      <c r="D784" t="s">
        <v>82</v>
      </c>
      <c r="E784" s="4">
        <v>42072</v>
      </c>
      <c r="F784" t="s">
        <v>48</v>
      </c>
      <c r="G784" t="s">
        <v>83</v>
      </c>
      <c r="H784" t="s">
        <v>24</v>
      </c>
      <c r="I784" t="s">
        <v>92</v>
      </c>
      <c r="J784">
        <v>7</v>
      </c>
      <c r="K784">
        <v>142</v>
      </c>
      <c r="L784">
        <v>2717.38</v>
      </c>
      <c r="M784">
        <v>39637</v>
      </c>
      <c r="N784" t="s">
        <v>26</v>
      </c>
      <c r="O784" t="s">
        <v>62</v>
      </c>
      <c r="P784" t="s">
        <v>28</v>
      </c>
      <c r="Q784">
        <v>17</v>
      </c>
      <c r="R784">
        <v>237.79</v>
      </c>
    </row>
    <row r="785" spans="1:18" x14ac:dyDescent="0.3">
      <c r="A785" t="s">
        <v>1631</v>
      </c>
      <c r="B785" t="s">
        <v>1632</v>
      </c>
      <c r="C785" t="s">
        <v>41</v>
      </c>
      <c r="D785" t="s">
        <v>21</v>
      </c>
      <c r="E785" s="4">
        <v>43493</v>
      </c>
      <c r="F785" t="s">
        <v>65</v>
      </c>
      <c r="G785" t="s">
        <v>83</v>
      </c>
      <c r="H785" t="s">
        <v>24</v>
      </c>
      <c r="I785" t="s">
        <v>51</v>
      </c>
      <c r="J785">
        <v>1</v>
      </c>
      <c r="K785">
        <v>1257</v>
      </c>
      <c r="L785">
        <v>3371.29</v>
      </c>
      <c r="M785">
        <v>32385</v>
      </c>
      <c r="N785" t="s">
        <v>36</v>
      </c>
      <c r="O785" t="s">
        <v>27</v>
      </c>
      <c r="P785" t="s">
        <v>25</v>
      </c>
      <c r="Q785">
        <v>13</v>
      </c>
      <c r="R785">
        <v>146.83000000000001</v>
      </c>
    </row>
    <row r="786" spans="1:18" x14ac:dyDescent="0.3">
      <c r="A786" t="s">
        <v>1633</v>
      </c>
      <c r="B786" t="s">
        <v>1634</v>
      </c>
      <c r="C786" t="s">
        <v>31</v>
      </c>
      <c r="D786" t="s">
        <v>32</v>
      </c>
      <c r="E786" s="4">
        <v>42134</v>
      </c>
      <c r="F786" t="s">
        <v>65</v>
      </c>
      <c r="G786" t="s">
        <v>49</v>
      </c>
      <c r="H786" t="s">
        <v>50</v>
      </c>
      <c r="I786" t="s">
        <v>34</v>
      </c>
      <c r="J786">
        <v>0</v>
      </c>
      <c r="K786">
        <v>1283</v>
      </c>
      <c r="L786">
        <v>2916.64</v>
      </c>
      <c r="M786">
        <v>30104</v>
      </c>
      <c r="N786" t="s">
        <v>61</v>
      </c>
      <c r="O786" t="s">
        <v>56</v>
      </c>
      <c r="P786" t="s">
        <v>28</v>
      </c>
      <c r="Q786">
        <v>6</v>
      </c>
      <c r="R786">
        <v>52.21</v>
      </c>
    </row>
    <row r="787" spans="1:18" x14ac:dyDescent="0.3">
      <c r="A787" t="s">
        <v>1635</v>
      </c>
      <c r="B787" t="s">
        <v>1636</v>
      </c>
      <c r="C787" t="s">
        <v>41</v>
      </c>
      <c r="D787" t="s">
        <v>59</v>
      </c>
      <c r="E787" s="4">
        <v>45293</v>
      </c>
      <c r="F787" t="s">
        <v>48</v>
      </c>
      <c r="G787" t="s">
        <v>33</v>
      </c>
      <c r="H787" t="s">
        <v>75</v>
      </c>
      <c r="I787" t="s">
        <v>51</v>
      </c>
      <c r="J787">
        <v>5</v>
      </c>
      <c r="K787">
        <v>1342</v>
      </c>
      <c r="L787">
        <v>4029.91</v>
      </c>
      <c r="M787">
        <v>44972</v>
      </c>
      <c r="N787" t="s">
        <v>26</v>
      </c>
      <c r="O787" t="s">
        <v>27</v>
      </c>
      <c r="P787" t="s">
        <v>52</v>
      </c>
      <c r="Q787">
        <v>34</v>
      </c>
      <c r="R787">
        <v>114.28</v>
      </c>
    </row>
    <row r="788" spans="1:18" x14ac:dyDescent="0.3">
      <c r="A788" t="s">
        <v>1637</v>
      </c>
      <c r="B788" t="s">
        <v>1638</v>
      </c>
      <c r="C788" t="s">
        <v>20</v>
      </c>
      <c r="D788" t="s">
        <v>82</v>
      </c>
      <c r="E788" s="4">
        <v>42819</v>
      </c>
      <c r="F788" t="s">
        <v>65</v>
      </c>
      <c r="G788" t="s">
        <v>49</v>
      </c>
      <c r="H788" t="s">
        <v>24</v>
      </c>
      <c r="I788" t="s">
        <v>51</v>
      </c>
      <c r="J788">
        <v>2</v>
      </c>
      <c r="K788">
        <v>626</v>
      </c>
      <c r="L788">
        <v>864.98</v>
      </c>
      <c r="M788">
        <v>18827</v>
      </c>
      <c r="N788" t="s">
        <v>61</v>
      </c>
      <c r="O788" t="s">
        <v>37</v>
      </c>
      <c r="P788" t="s">
        <v>38</v>
      </c>
      <c r="Q788">
        <v>7</v>
      </c>
      <c r="R788">
        <v>25.16</v>
      </c>
    </row>
    <row r="789" spans="1:18" x14ac:dyDescent="0.3">
      <c r="A789" t="s">
        <v>1639</v>
      </c>
      <c r="B789" t="s">
        <v>1640</v>
      </c>
      <c r="C789" t="s">
        <v>41</v>
      </c>
      <c r="D789" t="s">
        <v>21</v>
      </c>
      <c r="E789" s="4">
        <v>44460</v>
      </c>
      <c r="F789" t="s">
        <v>22</v>
      </c>
      <c r="G789" t="s">
        <v>102</v>
      </c>
      <c r="H789" t="s">
        <v>24</v>
      </c>
      <c r="I789" t="s">
        <v>25</v>
      </c>
      <c r="J789">
        <v>7</v>
      </c>
      <c r="K789">
        <v>1496</v>
      </c>
      <c r="L789">
        <v>4191.6099999999997</v>
      </c>
      <c r="M789">
        <v>34061</v>
      </c>
      <c r="N789" t="s">
        <v>61</v>
      </c>
      <c r="O789" t="s">
        <v>56</v>
      </c>
      <c r="P789" t="s">
        <v>28</v>
      </c>
      <c r="Q789">
        <v>22</v>
      </c>
      <c r="R789">
        <v>231.47</v>
      </c>
    </row>
    <row r="790" spans="1:18" x14ac:dyDescent="0.3">
      <c r="A790" t="s">
        <v>1641</v>
      </c>
      <c r="B790" t="s">
        <v>1642</v>
      </c>
      <c r="C790" t="s">
        <v>79</v>
      </c>
      <c r="D790" t="s">
        <v>32</v>
      </c>
      <c r="E790" s="4">
        <v>42902</v>
      </c>
      <c r="F790" t="s">
        <v>69</v>
      </c>
      <c r="G790" t="s">
        <v>49</v>
      </c>
      <c r="H790" t="s">
        <v>70</v>
      </c>
      <c r="I790" t="s">
        <v>51</v>
      </c>
      <c r="J790">
        <v>7</v>
      </c>
      <c r="K790">
        <v>1143</v>
      </c>
      <c r="L790">
        <v>3666.94</v>
      </c>
      <c r="M790">
        <v>47081</v>
      </c>
      <c r="N790" t="s">
        <v>26</v>
      </c>
      <c r="O790" t="s">
        <v>56</v>
      </c>
      <c r="P790" t="s">
        <v>45</v>
      </c>
      <c r="Q790">
        <v>27</v>
      </c>
      <c r="R790">
        <v>241.65</v>
      </c>
    </row>
    <row r="791" spans="1:18" x14ac:dyDescent="0.3">
      <c r="A791" t="s">
        <v>1643</v>
      </c>
      <c r="B791" t="s">
        <v>1644</v>
      </c>
      <c r="C791" t="s">
        <v>41</v>
      </c>
      <c r="D791" t="s">
        <v>21</v>
      </c>
      <c r="E791" s="4">
        <v>41213</v>
      </c>
      <c r="F791" t="s">
        <v>69</v>
      </c>
      <c r="G791" t="s">
        <v>83</v>
      </c>
      <c r="H791" t="s">
        <v>70</v>
      </c>
      <c r="I791" t="s">
        <v>92</v>
      </c>
      <c r="J791">
        <v>7</v>
      </c>
      <c r="K791">
        <v>1202</v>
      </c>
      <c r="L791">
        <v>2805.78</v>
      </c>
      <c r="M791">
        <v>7537</v>
      </c>
      <c r="N791" t="s">
        <v>61</v>
      </c>
      <c r="O791" t="s">
        <v>27</v>
      </c>
      <c r="P791" t="s">
        <v>28</v>
      </c>
      <c r="Q791">
        <v>22</v>
      </c>
      <c r="R791">
        <v>60.78</v>
      </c>
    </row>
    <row r="792" spans="1:18" x14ac:dyDescent="0.3">
      <c r="A792" t="s">
        <v>1645</v>
      </c>
      <c r="B792" t="s">
        <v>1646</v>
      </c>
      <c r="C792" t="s">
        <v>79</v>
      </c>
      <c r="D792" t="s">
        <v>109</v>
      </c>
      <c r="E792" s="4">
        <v>44220</v>
      </c>
      <c r="F792" t="s">
        <v>22</v>
      </c>
      <c r="G792" t="s">
        <v>83</v>
      </c>
      <c r="H792" t="s">
        <v>24</v>
      </c>
      <c r="I792" t="s">
        <v>51</v>
      </c>
      <c r="J792">
        <v>4</v>
      </c>
      <c r="K792">
        <v>528</v>
      </c>
      <c r="L792">
        <v>4512.59</v>
      </c>
      <c r="M792">
        <v>11654</v>
      </c>
      <c r="N792" t="s">
        <v>26</v>
      </c>
      <c r="O792" t="s">
        <v>62</v>
      </c>
      <c r="P792" t="s">
        <v>51</v>
      </c>
      <c r="Q792">
        <v>35</v>
      </c>
      <c r="R792">
        <v>9.2100000000000009</v>
      </c>
    </row>
    <row r="793" spans="1:18" x14ac:dyDescent="0.3">
      <c r="A793" t="s">
        <v>1647</v>
      </c>
      <c r="B793" t="s">
        <v>1648</v>
      </c>
      <c r="C793" t="s">
        <v>20</v>
      </c>
      <c r="D793" t="s">
        <v>21</v>
      </c>
      <c r="E793" s="4">
        <v>40635</v>
      </c>
      <c r="F793" t="s">
        <v>60</v>
      </c>
      <c r="G793" t="s">
        <v>83</v>
      </c>
      <c r="H793" t="s">
        <v>24</v>
      </c>
      <c r="I793" t="s">
        <v>76</v>
      </c>
      <c r="J793">
        <v>8</v>
      </c>
      <c r="K793">
        <v>911</v>
      </c>
      <c r="L793">
        <v>4764.25</v>
      </c>
      <c r="M793">
        <v>19261</v>
      </c>
      <c r="N793" t="s">
        <v>26</v>
      </c>
      <c r="O793" t="s">
        <v>62</v>
      </c>
      <c r="P793" t="s">
        <v>51</v>
      </c>
      <c r="Q793">
        <v>4</v>
      </c>
      <c r="R793">
        <v>56.51</v>
      </c>
    </row>
    <row r="794" spans="1:18" x14ac:dyDescent="0.3">
      <c r="A794" t="s">
        <v>1649</v>
      </c>
      <c r="B794" t="s">
        <v>1650</v>
      </c>
      <c r="C794" t="s">
        <v>31</v>
      </c>
      <c r="D794" t="s">
        <v>21</v>
      </c>
      <c r="E794" s="4">
        <v>43668</v>
      </c>
      <c r="F794" t="s">
        <v>22</v>
      </c>
      <c r="G794" t="s">
        <v>23</v>
      </c>
      <c r="H794" t="s">
        <v>55</v>
      </c>
      <c r="I794" t="s">
        <v>76</v>
      </c>
      <c r="J794">
        <v>1</v>
      </c>
      <c r="K794">
        <v>910</v>
      </c>
      <c r="L794">
        <v>1544.75</v>
      </c>
      <c r="M794">
        <v>49740</v>
      </c>
      <c r="N794" t="s">
        <v>26</v>
      </c>
      <c r="O794" t="s">
        <v>27</v>
      </c>
      <c r="P794" t="s">
        <v>38</v>
      </c>
      <c r="Q794">
        <v>40</v>
      </c>
      <c r="R794">
        <v>177.23</v>
      </c>
    </row>
    <row r="795" spans="1:18" x14ac:dyDescent="0.3">
      <c r="A795" t="s">
        <v>1651</v>
      </c>
      <c r="B795" t="s">
        <v>1652</v>
      </c>
      <c r="C795" t="s">
        <v>116</v>
      </c>
      <c r="D795" t="s">
        <v>109</v>
      </c>
      <c r="E795" s="4">
        <v>44175</v>
      </c>
      <c r="F795" t="s">
        <v>48</v>
      </c>
      <c r="G795" t="s">
        <v>33</v>
      </c>
      <c r="H795" t="s">
        <v>75</v>
      </c>
      <c r="I795" t="s">
        <v>92</v>
      </c>
      <c r="J795">
        <v>0</v>
      </c>
      <c r="K795">
        <v>1185</v>
      </c>
      <c r="L795">
        <v>4143.76</v>
      </c>
      <c r="M795">
        <v>2483</v>
      </c>
      <c r="N795" t="s">
        <v>26</v>
      </c>
      <c r="O795" t="s">
        <v>27</v>
      </c>
      <c r="P795" t="s">
        <v>38</v>
      </c>
      <c r="Q795">
        <v>38</v>
      </c>
      <c r="R795">
        <v>28.1</v>
      </c>
    </row>
    <row r="796" spans="1:18" x14ac:dyDescent="0.3">
      <c r="A796" t="s">
        <v>1653</v>
      </c>
      <c r="B796" t="s">
        <v>1654</v>
      </c>
      <c r="C796" t="s">
        <v>41</v>
      </c>
      <c r="D796" t="s">
        <v>59</v>
      </c>
      <c r="E796" s="4">
        <v>40623</v>
      </c>
      <c r="F796" t="s">
        <v>43</v>
      </c>
      <c r="G796" t="s">
        <v>49</v>
      </c>
      <c r="H796" t="s">
        <v>50</v>
      </c>
      <c r="I796" t="s">
        <v>76</v>
      </c>
      <c r="J796">
        <v>4</v>
      </c>
      <c r="K796">
        <v>37</v>
      </c>
      <c r="L796">
        <v>4928.6000000000004</v>
      </c>
      <c r="M796">
        <v>42665</v>
      </c>
      <c r="N796" t="s">
        <v>61</v>
      </c>
      <c r="O796" t="s">
        <v>62</v>
      </c>
      <c r="P796" t="s">
        <v>51</v>
      </c>
      <c r="Q796">
        <v>3</v>
      </c>
      <c r="R796">
        <v>183.35</v>
      </c>
    </row>
    <row r="797" spans="1:18" x14ac:dyDescent="0.3">
      <c r="A797" t="s">
        <v>1655</v>
      </c>
      <c r="B797" t="s">
        <v>1656</v>
      </c>
      <c r="C797" t="s">
        <v>41</v>
      </c>
      <c r="D797" t="s">
        <v>82</v>
      </c>
      <c r="E797" s="4">
        <v>45072</v>
      </c>
      <c r="F797" t="s">
        <v>65</v>
      </c>
      <c r="G797" t="s">
        <v>102</v>
      </c>
      <c r="H797" t="s">
        <v>34</v>
      </c>
      <c r="I797" t="s">
        <v>92</v>
      </c>
      <c r="J797">
        <v>8</v>
      </c>
      <c r="K797">
        <v>1370</v>
      </c>
      <c r="L797">
        <v>3524.4</v>
      </c>
      <c r="M797">
        <v>5673</v>
      </c>
      <c r="N797" t="s">
        <v>36</v>
      </c>
      <c r="O797" t="s">
        <v>62</v>
      </c>
      <c r="P797" t="s">
        <v>45</v>
      </c>
      <c r="Q797">
        <v>31</v>
      </c>
      <c r="R797">
        <v>29.19</v>
      </c>
    </row>
    <row r="798" spans="1:18" x14ac:dyDescent="0.3">
      <c r="A798" t="s">
        <v>1657</v>
      </c>
      <c r="B798" t="s">
        <v>1658</v>
      </c>
      <c r="C798" t="s">
        <v>31</v>
      </c>
      <c r="D798" t="s">
        <v>82</v>
      </c>
      <c r="E798" s="4">
        <v>45635</v>
      </c>
      <c r="F798" t="s">
        <v>48</v>
      </c>
      <c r="G798" t="s">
        <v>23</v>
      </c>
      <c r="H798" t="s">
        <v>55</v>
      </c>
      <c r="I798" t="s">
        <v>92</v>
      </c>
      <c r="J798">
        <v>5</v>
      </c>
      <c r="K798">
        <v>163</v>
      </c>
      <c r="L798">
        <v>4422.07</v>
      </c>
      <c r="M798">
        <v>6782</v>
      </c>
      <c r="N798" t="s">
        <v>26</v>
      </c>
      <c r="O798" t="s">
        <v>56</v>
      </c>
      <c r="P798" t="s">
        <v>38</v>
      </c>
      <c r="Q798">
        <v>36</v>
      </c>
      <c r="R798">
        <v>33.86</v>
      </c>
    </row>
    <row r="799" spans="1:18" x14ac:dyDescent="0.3">
      <c r="A799" t="s">
        <v>1659</v>
      </c>
      <c r="B799" t="s">
        <v>1660</v>
      </c>
      <c r="C799" t="s">
        <v>97</v>
      </c>
      <c r="D799" t="s">
        <v>109</v>
      </c>
      <c r="E799" s="4">
        <v>44315</v>
      </c>
      <c r="F799" t="s">
        <v>60</v>
      </c>
      <c r="G799" t="s">
        <v>83</v>
      </c>
      <c r="H799" t="s">
        <v>50</v>
      </c>
      <c r="I799" t="s">
        <v>35</v>
      </c>
      <c r="J799">
        <v>2</v>
      </c>
      <c r="K799">
        <v>476</v>
      </c>
      <c r="L799">
        <v>3787.22</v>
      </c>
      <c r="M799">
        <v>46505</v>
      </c>
      <c r="N799" t="s">
        <v>61</v>
      </c>
      <c r="O799" t="s">
        <v>62</v>
      </c>
      <c r="P799" t="s">
        <v>28</v>
      </c>
      <c r="Q799">
        <v>15</v>
      </c>
      <c r="R799">
        <v>76.709999999999994</v>
      </c>
    </row>
    <row r="800" spans="1:18" x14ac:dyDescent="0.3">
      <c r="A800" t="s">
        <v>1661</v>
      </c>
      <c r="B800" t="s">
        <v>1662</v>
      </c>
      <c r="C800" t="s">
        <v>97</v>
      </c>
      <c r="D800" t="s">
        <v>42</v>
      </c>
      <c r="E800" s="4">
        <v>43331</v>
      </c>
      <c r="F800" t="s">
        <v>22</v>
      </c>
      <c r="G800" t="s">
        <v>44</v>
      </c>
      <c r="H800" t="s">
        <v>75</v>
      </c>
      <c r="I800" t="s">
        <v>76</v>
      </c>
      <c r="J800">
        <v>8</v>
      </c>
      <c r="K800">
        <v>1126</v>
      </c>
      <c r="L800">
        <v>1578.95</v>
      </c>
      <c r="M800">
        <v>17813</v>
      </c>
      <c r="N800" t="s">
        <v>36</v>
      </c>
      <c r="O800" t="s">
        <v>56</v>
      </c>
      <c r="P800" t="s">
        <v>38</v>
      </c>
      <c r="Q800">
        <v>2</v>
      </c>
      <c r="R800">
        <v>227.48</v>
      </c>
    </row>
    <row r="801" spans="1:18" x14ac:dyDescent="0.3">
      <c r="A801" t="s">
        <v>1663</v>
      </c>
      <c r="B801" t="s">
        <v>1664</v>
      </c>
      <c r="C801" t="s">
        <v>41</v>
      </c>
      <c r="D801" t="s">
        <v>42</v>
      </c>
      <c r="E801" s="4">
        <v>40993</v>
      </c>
      <c r="F801" t="s">
        <v>69</v>
      </c>
      <c r="G801" t="s">
        <v>44</v>
      </c>
      <c r="H801" t="s">
        <v>34</v>
      </c>
      <c r="I801" t="s">
        <v>35</v>
      </c>
      <c r="J801">
        <v>3</v>
      </c>
      <c r="K801">
        <v>619</v>
      </c>
      <c r="L801">
        <v>1886.53</v>
      </c>
      <c r="M801">
        <v>28867</v>
      </c>
      <c r="N801" t="s">
        <v>36</v>
      </c>
      <c r="O801" t="s">
        <v>62</v>
      </c>
      <c r="P801" t="s">
        <v>28</v>
      </c>
      <c r="Q801">
        <v>29</v>
      </c>
      <c r="R801">
        <v>187.31</v>
      </c>
    </row>
    <row r="802" spans="1:18" x14ac:dyDescent="0.3">
      <c r="A802" t="s">
        <v>1665</v>
      </c>
      <c r="B802" t="s">
        <v>1666</v>
      </c>
      <c r="C802" t="s">
        <v>68</v>
      </c>
      <c r="D802" t="s">
        <v>32</v>
      </c>
      <c r="E802" s="4">
        <v>41232</v>
      </c>
      <c r="F802" t="s">
        <v>69</v>
      </c>
      <c r="G802" t="s">
        <v>23</v>
      </c>
      <c r="H802" t="s">
        <v>55</v>
      </c>
      <c r="I802" t="s">
        <v>34</v>
      </c>
      <c r="J802">
        <v>1</v>
      </c>
      <c r="K802">
        <v>1401</v>
      </c>
      <c r="L802">
        <v>3641.44</v>
      </c>
      <c r="M802">
        <v>35854</v>
      </c>
      <c r="N802" t="s">
        <v>36</v>
      </c>
      <c r="O802" t="s">
        <v>56</v>
      </c>
      <c r="P802" t="s">
        <v>38</v>
      </c>
      <c r="Q802">
        <v>8</v>
      </c>
      <c r="R802">
        <v>100.05</v>
      </c>
    </row>
    <row r="803" spans="1:18" x14ac:dyDescent="0.3">
      <c r="A803" t="s">
        <v>1667</v>
      </c>
      <c r="B803" t="s">
        <v>1668</v>
      </c>
      <c r="C803" t="s">
        <v>31</v>
      </c>
      <c r="D803" t="s">
        <v>32</v>
      </c>
      <c r="E803" s="4">
        <v>45603</v>
      </c>
      <c r="F803" t="s">
        <v>65</v>
      </c>
      <c r="G803" t="s">
        <v>102</v>
      </c>
      <c r="H803" t="s">
        <v>55</v>
      </c>
      <c r="I803" t="s">
        <v>92</v>
      </c>
      <c r="J803">
        <v>2</v>
      </c>
      <c r="K803">
        <v>767</v>
      </c>
      <c r="L803">
        <v>4134</v>
      </c>
      <c r="M803">
        <v>6158</v>
      </c>
      <c r="N803" t="s">
        <v>26</v>
      </c>
      <c r="O803" t="s">
        <v>37</v>
      </c>
      <c r="P803" t="s">
        <v>25</v>
      </c>
      <c r="Q803">
        <v>5</v>
      </c>
      <c r="R803">
        <v>133.11000000000001</v>
      </c>
    </row>
    <row r="804" spans="1:18" x14ac:dyDescent="0.3">
      <c r="A804" t="s">
        <v>1669</v>
      </c>
      <c r="B804" t="s">
        <v>1670</v>
      </c>
      <c r="C804" t="s">
        <v>97</v>
      </c>
      <c r="D804" t="s">
        <v>21</v>
      </c>
      <c r="E804" s="4">
        <v>43106</v>
      </c>
      <c r="F804" t="s">
        <v>69</v>
      </c>
      <c r="G804" t="s">
        <v>23</v>
      </c>
      <c r="H804" t="s">
        <v>24</v>
      </c>
      <c r="I804" t="s">
        <v>25</v>
      </c>
      <c r="J804">
        <v>2</v>
      </c>
      <c r="K804">
        <v>703</v>
      </c>
      <c r="L804">
        <v>3015.01</v>
      </c>
      <c r="M804">
        <v>17452</v>
      </c>
      <c r="N804" t="s">
        <v>61</v>
      </c>
      <c r="O804" t="s">
        <v>37</v>
      </c>
      <c r="P804" t="s">
        <v>28</v>
      </c>
      <c r="Q804">
        <v>30</v>
      </c>
      <c r="R804">
        <v>63.67</v>
      </c>
    </row>
    <row r="805" spans="1:18" x14ac:dyDescent="0.3">
      <c r="A805" t="s">
        <v>1671</v>
      </c>
      <c r="B805" t="s">
        <v>1672</v>
      </c>
      <c r="C805" t="s">
        <v>79</v>
      </c>
      <c r="D805" t="s">
        <v>109</v>
      </c>
      <c r="E805" s="4">
        <v>42164</v>
      </c>
      <c r="F805" t="s">
        <v>48</v>
      </c>
      <c r="G805" t="s">
        <v>102</v>
      </c>
      <c r="H805" t="s">
        <v>75</v>
      </c>
      <c r="I805" t="s">
        <v>76</v>
      </c>
      <c r="J805">
        <v>8</v>
      </c>
      <c r="K805">
        <v>972</v>
      </c>
      <c r="L805">
        <v>1688.91</v>
      </c>
      <c r="M805">
        <v>31787</v>
      </c>
      <c r="N805" t="s">
        <v>61</v>
      </c>
      <c r="O805" t="s">
        <v>56</v>
      </c>
      <c r="P805" t="s">
        <v>38</v>
      </c>
      <c r="Q805">
        <v>5</v>
      </c>
      <c r="R805">
        <v>78.510000000000005</v>
      </c>
    </row>
    <row r="806" spans="1:18" x14ac:dyDescent="0.3">
      <c r="A806" t="s">
        <v>1673</v>
      </c>
      <c r="B806" t="s">
        <v>1674</v>
      </c>
      <c r="C806" t="s">
        <v>68</v>
      </c>
      <c r="D806" t="s">
        <v>82</v>
      </c>
      <c r="E806" s="4">
        <v>40668</v>
      </c>
      <c r="F806" t="s">
        <v>60</v>
      </c>
      <c r="G806" t="s">
        <v>49</v>
      </c>
      <c r="H806" t="s">
        <v>55</v>
      </c>
      <c r="I806" t="s">
        <v>35</v>
      </c>
      <c r="J806">
        <v>8</v>
      </c>
      <c r="K806">
        <v>1441</v>
      </c>
      <c r="L806">
        <v>3361.42</v>
      </c>
      <c r="M806">
        <v>43033</v>
      </c>
      <c r="N806" t="s">
        <v>36</v>
      </c>
      <c r="O806" t="s">
        <v>27</v>
      </c>
      <c r="P806" t="s">
        <v>25</v>
      </c>
      <c r="Q806">
        <v>19</v>
      </c>
      <c r="R806">
        <v>45.5</v>
      </c>
    </row>
    <row r="807" spans="1:18" x14ac:dyDescent="0.3">
      <c r="A807" t="s">
        <v>1675</v>
      </c>
      <c r="B807" t="s">
        <v>1676</v>
      </c>
      <c r="C807" t="s">
        <v>41</v>
      </c>
      <c r="D807" t="s">
        <v>109</v>
      </c>
      <c r="E807" s="4">
        <v>46027</v>
      </c>
      <c r="F807" t="s">
        <v>60</v>
      </c>
      <c r="G807" t="s">
        <v>44</v>
      </c>
      <c r="H807" t="s">
        <v>50</v>
      </c>
      <c r="I807" t="s">
        <v>25</v>
      </c>
      <c r="J807">
        <v>0</v>
      </c>
      <c r="K807">
        <v>837</v>
      </c>
      <c r="L807">
        <v>2161.39</v>
      </c>
      <c r="M807">
        <v>42866</v>
      </c>
      <c r="N807" t="s">
        <v>26</v>
      </c>
      <c r="O807" t="s">
        <v>56</v>
      </c>
      <c r="P807" t="s">
        <v>51</v>
      </c>
      <c r="Q807">
        <v>15</v>
      </c>
      <c r="R807">
        <v>224.39</v>
      </c>
    </row>
    <row r="808" spans="1:18" x14ac:dyDescent="0.3">
      <c r="A808" t="s">
        <v>1677</v>
      </c>
      <c r="B808" t="s">
        <v>1678</v>
      </c>
      <c r="C808" t="s">
        <v>116</v>
      </c>
      <c r="D808" t="s">
        <v>42</v>
      </c>
      <c r="E808" s="4">
        <v>44067</v>
      </c>
      <c r="F808" t="s">
        <v>22</v>
      </c>
      <c r="G808" t="s">
        <v>33</v>
      </c>
      <c r="H808" t="s">
        <v>75</v>
      </c>
      <c r="I808" t="s">
        <v>51</v>
      </c>
      <c r="J808">
        <v>4</v>
      </c>
      <c r="K808">
        <v>850</v>
      </c>
      <c r="L808">
        <v>408.01</v>
      </c>
      <c r="M808">
        <v>18939</v>
      </c>
      <c r="N808" t="s">
        <v>61</v>
      </c>
      <c r="O808" t="s">
        <v>56</v>
      </c>
      <c r="P808" t="s">
        <v>28</v>
      </c>
      <c r="Q808">
        <v>8</v>
      </c>
      <c r="R808">
        <v>230.29</v>
      </c>
    </row>
    <row r="809" spans="1:18" x14ac:dyDescent="0.3">
      <c r="A809" t="s">
        <v>1679</v>
      </c>
      <c r="B809" t="s">
        <v>1680</v>
      </c>
      <c r="C809" t="s">
        <v>79</v>
      </c>
      <c r="D809" t="s">
        <v>32</v>
      </c>
      <c r="E809" s="4">
        <v>44487</v>
      </c>
      <c r="F809" t="s">
        <v>43</v>
      </c>
      <c r="G809" t="s">
        <v>33</v>
      </c>
      <c r="H809" t="s">
        <v>50</v>
      </c>
      <c r="I809" t="s">
        <v>51</v>
      </c>
      <c r="J809">
        <v>3</v>
      </c>
      <c r="K809">
        <v>1082</v>
      </c>
      <c r="L809">
        <v>3067.9</v>
      </c>
      <c r="M809">
        <v>13065</v>
      </c>
      <c r="N809" t="s">
        <v>26</v>
      </c>
      <c r="O809" t="s">
        <v>62</v>
      </c>
      <c r="P809" t="s">
        <v>45</v>
      </c>
      <c r="Q809">
        <v>1</v>
      </c>
      <c r="R809">
        <v>60.87</v>
      </c>
    </row>
    <row r="810" spans="1:18" x14ac:dyDescent="0.3">
      <c r="A810" t="s">
        <v>1681</v>
      </c>
      <c r="B810" t="s">
        <v>1682</v>
      </c>
      <c r="C810" t="s">
        <v>97</v>
      </c>
      <c r="D810" t="s">
        <v>42</v>
      </c>
      <c r="E810" s="4">
        <v>43110</v>
      </c>
      <c r="F810" t="s">
        <v>48</v>
      </c>
      <c r="G810" t="s">
        <v>23</v>
      </c>
      <c r="H810" t="s">
        <v>55</v>
      </c>
      <c r="I810" t="s">
        <v>76</v>
      </c>
      <c r="J810">
        <v>8</v>
      </c>
      <c r="K810">
        <v>1202</v>
      </c>
      <c r="L810">
        <v>1492.79</v>
      </c>
      <c r="M810">
        <v>12137</v>
      </c>
      <c r="N810" t="s">
        <v>61</v>
      </c>
      <c r="O810" t="s">
        <v>27</v>
      </c>
      <c r="P810" t="s">
        <v>28</v>
      </c>
      <c r="Q810">
        <v>7</v>
      </c>
      <c r="R810">
        <v>48.62</v>
      </c>
    </row>
    <row r="811" spans="1:18" x14ac:dyDescent="0.3">
      <c r="A811" t="s">
        <v>1683</v>
      </c>
      <c r="B811" t="s">
        <v>1684</v>
      </c>
      <c r="C811" t="s">
        <v>20</v>
      </c>
      <c r="D811" t="s">
        <v>59</v>
      </c>
      <c r="E811" s="4">
        <v>40745</v>
      </c>
      <c r="F811" t="s">
        <v>60</v>
      </c>
      <c r="G811" t="s">
        <v>49</v>
      </c>
      <c r="H811" t="s">
        <v>70</v>
      </c>
      <c r="I811" t="s">
        <v>92</v>
      </c>
      <c r="J811">
        <v>7</v>
      </c>
      <c r="K811">
        <v>859</v>
      </c>
      <c r="L811">
        <v>3006.69</v>
      </c>
      <c r="M811">
        <v>47378</v>
      </c>
      <c r="N811" t="s">
        <v>61</v>
      </c>
      <c r="O811" t="s">
        <v>62</v>
      </c>
      <c r="P811" t="s">
        <v>25</v>
      </c>
      <c r="Q811">
        <v>3</v>
      </c>
      <c r="R811">
        <v>127</v>
      </c>
    </row>
    <row r="812" spans="1:18" x14ac:dyDescent="0.3">
      <c r="A812" t="s">
        <v>1685</v>
      </c>
      <c r="B812" t="s">
        <v>1686</v>
      </c>
      <c r="C812" t="s">
        <v>31</v>
      </c>
      <c r="D812" t="s">
        <v>42</v>
      </c>
      <c r="E812" s="4">
        <v>45278</v>
      </c>
      <c r="F812" t="s">
        <v>43</v>
      </c>
      <c r="G812" t="s">
        <v>49</v>
      </c>
      <c r="H812" t="s">
        <v>75</v>
      </c>
      <c r="I812" t="s">
        <v>35</v>
      </c>
      <c r="J812">
        <v>0</v>
      </c>
      <c r="K812">
        <v>924</v>
      </c>
      <c r="L812">
        <v>2619.5300000000002</v>
      </c>
      <c r="M812">
        <v>47097</v>
      </c>
      <c r="N812" t="s">
        <v>26</v>
      </c>
      <c r="O812" t="s">
        <v>27</v>
      </c>
      <c r="P812" t="s">
        <v>51</v>
      </c>
      <c r="Q812">
        <v>21</v>
      </c>
      <c r="R812">
        <v>71.31</v>
      </c>
    </row>
    <row r="813" spans="1:18" x14ac:dyDescent="0.3">
      <c r="A813" t="s">
        <v>1687</v>
      </c>
      <c r="B813" t="s">
        <v>1688</v>
      </c>
      <c r="C813" t="s">
        <v>116</v>
      </c>
      <c r="D813" t="s">
        <v>21</v>
      </c>
      <c r="E813" s="4">
        <v>41483</v>
      </c>
      <c r="F813" t="s">
        <v>48</v>
      </c>
      <c r="G813" t="s">
        <v>83</v>
      </c>
      <c r="H813" t="s">
        <v>34</v>
      </c>
      <c r="I813" t="s">
        <v>34</v>
      </c>
      <c r="J813">
        <v>0</v>
      </c>
      <c r="K813">
        <v>791</v>
      </c>
      <c r="L813">
        <v>4423.5600000000004</v>
      </c>
      <c r="M813">
        <v>2359</v>
      </c>
      <c r="N813" t="s">
        <v>61</v>
      </c>
      <c r="O813" t="s">
        <v>56</v>
      </c>
      <c r="P813" t="s">
        <v>51</v>
      </c>
      <c r="Q813">
        <v>29</v>
      </c>
      <c r="R813">
        <v>190.79</v>
      </c>
    </row>
    <row r="814" spans="1:18" x14ac:dyDescent="0.3">
      <c r="A814" t="s">
        <v>1689</v>
      </c>
      <c r="B814" t="s">
        <v>1690</v>
      </c>
      <c r="C814" t="s">
        <v>31</v>
      </c>
      <c r="D814" t="s">
        <v>21</v>
      </c>
      <c r="E814" s="4">
        <v>40325</v>
      </c>
      <c r="F814" t="s">
        <v>48</v>
      </c>
      <c r="G814" t="s">
        <v>49</v>
      </c>
      <c r="H814" t="s">
        <v>34</v>
      </c>
      <c r="I814" t="s">
        <v>25</v>
      </c>
      <c r="J814">
        <v>6</v>
      </c>
      <c r="K814">
        <v>1140</v>
      </c>
      <c r="L814">
        <v>2004.76</v>
      </c>
      <c r="M814">
        <v>38579</v>
      </c>
      <c r="N814" t="s">
        <v>61</v>
      </c>
      <c r="O814" t="s">
        <v>56</v>
      </c>
      <c r="P814" t="s">
        <v>51</v>
      </c>
      <c r="Q814">
        <v>8</v>
      </c>
      <c r="R814">
        <v>210.49</v>
      </c>
    </row>
    <row r="815" spans="1:18" x14ac:dyDescent="0.3">
      <c r="A815" t="s">
        <v>1691</v>
      </c>
      <c r="B815" t="s">
        <v>1692</v>
      </c>
      <c r="C815" t="s">
        <v>31</v>
      </c>
      <c r="D815" t="s">
        <v>42</v>
      </c>
      <c r="E815" s="4">
        <v>42728</v>
      </c>
      <c r="F815" t="s">
        <v>60</v>
      </c>
      <c r="G815" t="s">
        <v>44</v>
      </c>
      <c r="H815" t="s">
        <v>34</v>
      </c>
      <c r="I815" t="s">
        <v>92</v>
      </c>
      <c r="J815">
        <v>7</v>
      </c>
      <c r="K815">
        <v>531</v>
      </c>
      <c r="L815">
        <v>1353.05</v>
      </c>
      <c r="M815">
        <v>24676</v>
      </c>
      <c r="N815" t="s">
        <v>61</v>
      </c>
      <c r="O815" t="s">
        <v>62</v>
      </c>
      <c r="P815" t="s">
        <v>38</v>
      </c>
      <c r="Q815">
        <v>17</v>
      </c>
      <c r="R815">
        <v>14.11</v>
      </c>
    </row>
    <row r="816" spans="1:18" x14ac:dyDescent="0.3">
      <c r="A816" t="s">
        <v>1693</v>
      </c>
      <c r="B816" t="s">
        <v>1694</v>
      </c>
      <c r="C816" t="s">
        <v>68</v>
      </c>
      <c r="D816" t="s">
        <v>109</v>
      </c>
      <c r="E816" s="4">
        <v>42758</v>
      </c>
      <c r="F816" t="s">
        <v>65</v>
      </c>
      <c r="G816" t="s">
        <v>44</v>
      </c>
      <c r="H816" t="s">
        <v>50</v>
      </c>
      <c r="I816" t="s">
        <v>34</v>
      </c>
      <c r="J816">
        <v>2</v>
      </c>
      <c r="K816">
        <v>1274</v>
      </c>
      <c r="L816">
        <v>1009.92</v>
      </c>
      <c r="M816">
        <v>22083</v>
      </c>
      <c r="N816" t="s">
        <v>36</v>
      </c>
      <c r="O816" t="s">
        <v>27</v>
      </c>
      <c r="P816" t="s">
        <v>52</v>
      </c>
      <c r="Q816">
        <v>30</v>
      </c>
      <c r="R816">
        <v>219.8</v>
      </c>
    </row>
    <row r="817" spans="1:18" x14ac:dyDescent="0.3">
      <c r="A817" t="s">
        <v>1695</v>
      </c>
      <c r="B817" t="s">
        <v>1696</v>
      </c>
      <c r="C817" t="s">
        <v>116</v>
      </c>
      <c r="D817" t="s">
        <v>82</v>
      </c>
      <c r="E817" s="4">
        <v>42217</v>
      </c>
      <c r="F817" t="s">
        <v>48</v>
      </c>
      <c r="G817" t="s">
        <v>23</v>
      </c>
      <c r="H817" t="s">
        <v>70</v>
      </c>
      <c r="I817" t="s">
        <v>92</v>
      </c>
      <c r="J817">
        <v>4</v>
      </c>
      <c r="K817">
        <v>296</v>
      </c>
      <c r="L817">
        <v>3300.33</v>
      </c>
      <c r="M817">
        <v>4782</v>
      </c>
      <c r="N817" t="s">
        <v>61</v>
      </c>
      <c r="O817" t="s">
        <v>62</v>
      </c>
      <c r="P817" t="s">
        <v>45</v>
      </c>
      <c r="Q817">
        <v>29</v>
      </c>
      <c r="R817">
        <v>224.04</v>
      </c>
    </row>
    <row r="818" spans="1:18" x14ac:dyDescent="0.3">
      <c r="A818" t="s">
        <v>1697</v>
      </c>
      <c r="B818" t="s">
        <v>1698</v>
      </c>
      <c r="C818" t="s">
        <v>68</v>
      </c>
      <c r="D818" t="s">
        <v>109</v>
      </c>
      <c r="E818" s="4">
        <v>46077</v>
      </c>
      <c r="F818" t="s">
        <v>48</v>
      </c>
      <c r="G818" t="s">
        <v>83</v>
      </c>
      <c r="H818" t="s">
        <v>50</v>
      </c>
      <c r="I818" t="s">
        <v>35</v>
      </c>
      <c r="J818">
        <v>2</v>
      </c>
      <c r="K818">
        <v>559</v>
      </c>
      <c r="L818">
        <v>3307.97</v>
      </c>
      <c r="M818">
        <v>41740</v>
      </c>
      <c r="N818" t="s">
        <v>36</v>
      </c>
      <c r="O818" t="s">
        <v>27</v>
      </c>
      <c r="P818" t="s">
        <v>45</v>
      </c>
      <c r="Q818">
        <v>1</v>
      </c>
      <c r="R818">
        <v>215.73</v>
      </c>
    </row>
    <row r="819" spans="1:18" x14ac:dyDescent="0.3">
      <c r="A819" t="s">
        <v>1699</v>
      </c>
      <c r="B819" t="s">
        <v>1700</v>
      </c>
      <c r="C819" t="s">
        <v>116</v>
      </c>
      <c r="D819" t="s">
        <v>82</v>
      </c>
      <c r="E819" s="4">
        <v>42775</v>
      </c>
      <c r="F819" t="s">
        <v>65</v>
      </c>
      <c r="G819" t="s">
        <v>33</v>
      </c>
      <c r="H819" t="s">
        <v>70</v>
      </c>
      <c r="I819" t="s">
        <v>34</v>
      </c>
      <c r="J819">
        <v>7</v>
      </c>
      <c r="K819">
        <v>1051</v>
      </c>
      <c r="L819">
        <v>2181.6</v>
      </c>
      <c r="M819">
        <v>6540</v>
      </c>
      <c r="N819" t="s">
        <v>26</v>
      </c>
      <c r="O819" t="s">
        <v>37</v>
      </c>
      <c r="P819" t="s">
        <v>28</v>
      </c>
      <c r="Q819">
        <v>32</v>
      </c>
      <c r="R819">
        <v>197.5</v>
      </c>
    </row>
    <row r="820" spans="1:18" x14ac:dyDescent="0.3">
      <c r="A820" t="s">
        <v>1701</v>
      </c>
      <c r="B820" t="s">
        <v>1702</v>
      </c>
      <c r="C820" t="s">
        <v>31</v>
      </c>
      <c r="D820" t="s">
        <v>59</v>
      </c>
      <c r="E820" s="4">
        <v>44168</v>
      </c>
      <c r="F820" t="s">
        <v>69</v>
      </c>
      <c r="G820" t="s">
        <v>83</v>
      </c>
      <c r="H820" t="s">
        <v>50</v>
      </c>
      <c r="I820" t="s">
        <v>51</v>
      </c>
      <c r="J820">
        <v>0</v>
      </c>
      <c r="K820">
        <v>1203</v>
      </c>
      <c r="L820">
        <v>2032.12</v>
      </c>
      <c r="M820">
        <v>37344</v>
      </c>
      <c r="N820" t="s">
        <v>36</v>
      </c>
      <c r="O820" t="s">
        <v>62</v>
      </c>
      <c r="P820" t="s">
        <v>25</v>
      </c>
      <c r="Q820">
        <v>36</v>
      </c>
      <c r="R820">
        <v>41.41</v>
      </c>
    </row>
    <row r="821" spans="1:18" x14ac:dyDescent="0.3">
      <c r="A821" t="s">
        <v>1703</v>
      </c>
      <c r="B821" t="s">
        <v>1704</v>
      </c>
      <c r="C821" t="s">
        <v>20</v>
      </c>
      <c r="D821" t="s">
        <v>82</v>
      </c>
      <c r="E821" s="4">
        <v>44817</v>
      </c>
      <c r="F821" t="s">
        <v>43</v>
      </c>
      <c r="G821" t="s">
        <v>83</v>
      </c>
      <c r="H821" t="s">
        <v>50</v>
      </c>
      <c r="I821" t="s">
        <v>25</v>
      </c>
      <c r="J821">
        <v>8</v>
      </c>
      <c r="K821">
        <v>1303</v>
      </c>
      <c r="L821">
        <v>437.9</v>
      </c>
      <c r="M821">
        <v>16887</v>
      </c>
      <c r="N821" t="s">
        <v>26</v>
      </c>
      <c r="O821" t="s">
        <v>56</v>
      </c>
      <c r="P821" t="s">
        <v>52</v>
      </c>
      <c r="Q821">
        <v>41</v>
      </c>
      <c r="R821">
        <v>43.74</v>
      </c>
    </row>
    <row r="822" spans="1:18" x14ac:dyDescent="0.3">
      <c r="A822" t="s">
        <v>1705</v>
      </c>
      <c r="B822" t="s">
        <v>1706</v>
      </c>
      <c r="C822" t="s">
        <v>31</v>
      </c>
      <c r="D822" t="s">
        <v>21</v>
      </c>
      <c r="E822" s="4">
        <v>44675</v>
      </c>
      <c r="F822" t="s">
        <v>60</v>
      </c>
      <c r="G822" t="s">
        <v>49</v>
      </c>
      <c r="H822" t="s">
        <v>75</v>
      </c>
      <c r="I822" t="s">
        <v>51</v>
      </c>
      <c r="J822">
        <v>0</v>
      </c>
      <c r="K822">
        <v>1183</v>
      </c>
      <c r="L822">
        <v>1124.73</v>
      </c>
      <c r="M822">
        <v>6308</v>
      </c>
      <c r="N822" t="s">
        <v>61</v>
      </c>
      <c r="O822" t="s">
        <v>56</v>
      </c>
      <c r="P822" t="s">
        <v>45</v>
      </c>
      <c r="Q822">
        <v>7</v>
      </c>
      <c r="R822">
        <v>86.9</v>
      </c>
    </row>
    <row r="823" spans="1:18" x14ac:dyDescent="0.3">
      <c r="A823" t="s">
        <v>1707</v>
      </c>
      <c r="B823" t="s">
        <v>1708</v>
      </c>
      <c r="C823" t="s">
        <v>31</v>
      </c>
      <c r="D823" t="s">
        <v>21</v>
      </c>
      <c r="E823" s="4">
        <v>42317</v>
      </c>
      <c r="F823" t="s">
        <v>43</v>
      </c>
      <c r="G823" t="s">
        <v>83</v>
      </c>
      <c r="H823" t="s">
        <v>75</v>
      </c>
      <c r="I823" t="s">
        <v>25</v>
      </c>
      <c r="J823">
        <v>5</v>
      </c>
      <c r="K823">
        <v>638</v>
      </c>
      <c r="L823">
        <v>4263.33</v>
      </c>
      <c r="M823">
        <v>37853</v>
      </c>
      <c r="N823" t="s">
        <v>26</v>
      </c>
      <c r="O823" t="s">
        <v>37</v>
      </c>
      <c r="P823" t="s">
        <v>45</v>
      </c>
      <c r="Q823">
        <v>16</v>
      </c>
      <c r="R823">
        <v>170.17</v>
      </c>
    </row>
    <row r="824" spans="1:18" x14ac:dyDescent="0.3">
      <c r="A824" t="s">
        <v>1709</v>
      </c>
      <c r="B824" t="s">
        <v>1710</v>
      </c>
      <c r="C824" t="s">
        <v>31</v>
      </c>
      <c r="D824" t="s">
        <v>82</v>
      </c>
      <c r="E824" s="4">
        <v>40353</v>
      </c>
      <c r="F824" t="s">
        <v>48</v>
      </c>
      <c r="G824" t="s">
        <v>83</v>
      </c>
      <c r="H824" t="s">
        <v>55</v>
      </c>
      <c r="I824" t="s">
        <v>76</v>
      </c>
      <c r="J824">
        <v>3</v>
      </c>
      <c r="K824">
        <v>318</v>
      </c>
      <c r="L824">
        <v>2463.37</v>
      </c>
      <c r="M824">
        <v>45004</v>
      </c>
      <c r="N824" t="s">
        <v>61</v>
      </c>
      <c r="O824" t="s">
        <v>56</v>
      </c>
      <c r="P824" t="s">
        <v>25</v>
      </c>
      <c r="Q824">
        <v>35</v>
      </c>
      <c r="R824">
        <v>19.239999999999998</v>
      </c>
    </row>
    <row r="825" spans="1:18" x14ac:dyDescent="0.3">
      <c r="A825" t="s">
        <v>1711</v>
      </c>
      <c r="B825" t="s">
        <v>1712</v>
      </c>
      <c r="C825" t="s">
        <v>79</v>
      </c>
      <c r="D825" t="s">
        <v>82</v>
      </c>
      <c r="E825" s="4">
        <v>43571</v>
      </c>
      <c r="F825" t="s">
        <v>22</v>
      </c>
      <c r="G825" t="s">
        <v>49</v>
      </c>
      <c r="H825" t="s">
        <v>50</v>
      </c>
      <c r="I825" t="s">
        <v>92</v>
      </c>
      <c r="J825">
        <v>8</v>
      </c>
      <c r="K825">
        <v>403</v>
      </c>
      <c r="L825">
        <v>284.04000000000002</v>
      </c>
      <c r="M825">
        <v>28376</v>
      </c>
      <c r="N825" t="s">
        <v>36</v>
      </c>
      <c r="O825" t="s">
        <v>37</v>
      </c>
      <c r="P825" t="s">
        <v>45</v>
      </c>
      <c r="Q825">
        <v>24</v>
      </c>
      <c r="R825">
        <v>137.65</v>
      </c>
    </row>
    <row r="826" spans="1:18" x14ac:dyDescent="0.3">
      <c r="A826" t="s">
        <v>1713</v>
      </c>
      <c r="B826" t="s">
        <v>1714</v>
      </c>
      <c r="C826" t="s">
        <v>41</v>
      </c>
      <c r="D826" t="s">
        <v>109</v>
      </c>
      <c r="E826" s="4">
        <v>45933</v>
      </c>
      <c r="F826" t="s">
        <v>22</v>
      </c>
      <c r="G826" t="s">
        <v>83</v>
      </c>
      <c r="H826" t="s">
        <v>50</v>
      </c>
      <c r="I826" t="s">
        <v>92</v>
      </c>
      <c r="J826">
        <v>5</v>
      </c>
      <c r="K826">
        <v>1171</v>
      </c>
      <c r="L826">
        <v>1791.36</v>
      </c>
      <c r="M826">
        <v>10411</v>
      </c>
      <c r="N826" t="s">
        <v>36</v>
      </c>
      <c r="O826" t="s">
        <v>56</v>
      </c>
      <c r="P826" t="s">
        <v>38</v>
      </c>
      <c r="Q826">
        <v>29</v>
      </c>
      <c r="R826">
        <v>151.27000000000001</v>
      </c>
    </row>
    <row r="827" spans="1:18" x14ac:dyDescent="0.3">
      <c r="A827" t="s">
        <v>1715</v>
      </c>
      <c r="B827" t="s">
        <v>1716</v>
      </c>
      <c r="C827" t="s">
        <v>68</v>
      </c>
      <c r="D827" t="s">
        <v>21</v>
      </c>
      <c r="E827" s="4">
        <v>45562</v>
      </c>
      <c r="F827" t="s">
        <v>22</v>
      </c>
      <c r="G827" t="s">
        <v>44</v>
      </c>
      <c r="H827" t="s">
        <v>50</v>
      </c>
      <c r="I827" t="s">
        <v>92</v>
      </c>
      <c r="J827">
        <v>6</v>
      </c>
      <c r="K827">
        <v>1250</v>
      </c>
      <c r="L827">
        <v>4867.57</v>
      </c>
      <c r="M827">
        <v>20339</v>
      </c>
      <c r="N827" t="s">
        <v>26</v>
      </c>
      <c r="O827" t="s">
        <v>56</v>
      </c>
      <c r="P827" t="s">
        <v>51</v>
      </c>
      <c r="Q827">
        <v>15</v>
      </c>
      <c r="R827">
        <v>203.29</v>
      </c>
    </row>
    <row r="828" spans="1:18" x14ac:dyDescent="0.3">
      <c r="A828" t="s">
        <v>1717</v>
      </c>
      <c r="B828" t="s">
        <v>1718</v>
      </c>
      <c r="C828" t="s">
        <v>68</v>
      </c>
      <c r="D828" t="s">
        <v>109</v>
      </c>
      <c r="E828" s="4">
        <v>44586</v>
      </c>
      <c r="F828" t="s">
        <v>65</v>
      </c>
      <c r="G828" t="s">
        <v>83</v>
      </c>
      <c r="H828" t="s">
        <v>55</v>
      </c>
      <c r="I828" t="s">
        <v>92</v>
      </c>
      <c r="J828">
        <v>7</v>
      </c>
      <c r="K828">
        <v>66</v>
      </c>
      <c r="L828">
        <v>1106.94</v>
      </c>
      <c r="M828">
        <v>33215</v>
      </c>
      <c r="N828" t="s">
        <v>26</v>
      </c>
      <c r="O828" t="s">
        <v>62</v>
      </c>
      <c r="P828" t="s">
        <v>45</v>
      </c>
      <c r="Q828">
        <v>39</v>
      </c>
      <c r="R828">
        <v>112.28</v>
      </c>
    </row>
    <row r="829" spans="1:18" x14ac:dyDescent="0.3">
      <c r="A829" t="s">
        <v>1719</v>
      </c>
      <c r="B829" t="s">
        <v>1720</v>
      </c>
      <c r="C829" t="s">
        <v>20</v>
      </c>
      <c r="D829" t="s">
        <v>109</v>
      </c>
      <c r="E829" s="4">
        <v>43947</v>
      </c>
      <c r="F829" t="s">
        <v>60</v>
      </c>
      <c r="G829" t="s">
        <v>49</v>
      </c>
      <c r="H829" t="s">
        <v>70</v>
      </c>
      <c r="I829" t="s">
        <v>34</v>
      </c>
      <c r="J829">
        <v>6</v>
      </c>
      <c r="K829">
        <v>297</v>
      </c>
      <c r="L829">
        <v>4019.63</v>
      </c>
      <c r="M829">
        <v>31264</v>
      </c>
      <c r="N829" t="s">
        <v>36</v>
      </c>
      <c r="O829" t="s">
        <v>27</v>
      </c>
      <c r="P829" t="s">
        <v>38</v>
      </c>
      <c r="Q829">
        <v>24</v>
      </c>
      <c r="R829">
        <v>100.08</v>
      </c>
    </row>
    <row r="830" spans="1:18" x14ac:dyDescent="0.3">
      <c r="A830" t="s">
        <v>1721</v>
      </c>
      <c r="B830" t="s">
        <v>1722</v>
      </c>
      <c r="C830" t="s">
        <v>68</v>
      </c>
      <c r="D830" t="s">
        <v>42</v>
      </c>
      <c r="E830" s="4">
        <v>45587</v>
      </c>
      <c r="F830" t="s">
        <v>65</v>
      </c>
      <c r="G830" t="s">
        <v>23</v>
      </c>
      <c r="H830" t="s">
        <v>75</v>
      </c>
      <c r="I830" t="s">
        <v>35</v>
      </c>
      <c r="J830">
        <v>8</v>
      </c>
      <c r="K830">
        <v>1458</v>
      </c>
      <c r="L830">
        <v>191.01</v>
      </c>
      <c r="M830">
        <v>34565</v>
      </c>
      <c r="N830" t="s">
        <v>36</v>
      </c>
      <c r="O830" t="s">
        <v>56</v>
      </c>
      <c r="P830" t="s">
        <v>45</v>
      </c>
      <c r="Q830">
        <v>10</v>
      </c>
      <c r="R830">
        <v>51.2</v>
      </c>
    </row>
    <row r="831" spans="1:18" x14ac:dyDescent="0.3">
      <c r="A831" t="s">
        <v>1723</v>
      </c>
      <c r="B831" t="s">
        <v>1724</v>
      </c>
      <c r="C831" t="s">
        <v>97</v>
      </c>
      <c r="D831" t="s">
        <v>82</v>
      </c>
      <c r="E831" s="4">
        <v>43980</v>
      </c>
      <c r="F831" t="s">
        <v>69</v>
      </c>
      <c r="G831" t="s">
        <v>102</v>
      </c>
      <c r="H831" t="s">
        <v>50</v>
      </c>
      <c r="I831" t="s">
        <v>34</v>
      </c>
      <c r="J831">
        <v>3</v>
      </c>
      <c r="K831">
        <v>217</v>
      </c>
      <c r="L831">
        <v>3330.6</v>
      </c>
      <c r="M831">
        <v>24066</v>
      </c>
      <c r="N831" t="s">
        <v>36</v>
      </c>
      <c r="O831" t="s">
        <v>62</v>
      </c>
      <c r="P831" t="s">
        <v>52</v>
      </c>
      <c r="Q831">
        <v>27</v>
      </c>
      <c r="R831">
        <v>213.56</v>
      </c>
    </row>
    <row r="832" spans="1:18" x14ac:dyDescent="0.3">
      <c r="A832" t="s">
        <v>1725</v>
      </c>
      <c r="B832" t="s">
        <v>1726</v>
      </c>
      <c r="C832" t="s">
        <v>31</v>
      </c>
      <c r="D832" t="s">
        <v>21</v>
      </c>
      <c r="E832" s="4">
        <v>40373</v>
      </c>
      <c r="F832" t="s">
        <v>48</v>
      </c>
      <c r="G832" t="s">
        <v>44</v>
      </c>
      <c r="H832" t="s">
        <v>75</v>
      </c>
      <c r="I832" t="s">
        <v>34</v>
      </c>
      <c r="J832">
        <v>6</v>
      </c>
      <c r="K832">
        <v>1486</v>
      </c>
      <c r="L832">
        <v>1118.3499999999999</v>
      </c>
      <c r="M832">
        <v>6185</v>
      </c>
      <c r="N832" t="s">
        <v>26</v>
      </c>
      <c r="O832" t="s">
        <v>37</v>
      </c>
      <c r="P832" t="s">
        <v>28</v>
      </c>
      <c r="Q832">
        <v>7</v>
      </c>
      <c r="R832">
        <v>75.17</v>
      </c>
    </row>
    <row r="833" spans="1:18" x14ac:dyDescent="0.3">
      <c r="A833" t="s">
        <v>1727</v>
      </c>
      <c r="B833" t="s">
        <v>1728</v>
      </c>
      <c r="C833" t="s">
        <v>79</v>
      </c>
      <c r="D833" t="s">
        <v>32</v>
      </c>
      <c r="E833" s="4">
        <v>44266</v>
      </c>
      <c r="F833" t="s">
        <v>48</v>
      </c>
      <c r="G833" t="s">
        <v>33</v>
      </c>
      <c r="H833" t="s">
        <v>55</v>
      </c>
      <c r="I833" t="s">
        <v>51</v>
      </c>
      <c r="J833">
        <v>5</v>
      </c>
      <c r="K833">
        <v>341</v>
      </c>
      <c r="L833">
        <v>2618.12</v>
      </c>
      <c r="M833">
        <v>23361</v>
      </c>
      <c r="N833" t="s">
        <v>36</v>
      </c>
      <c r="O833" t="s">
        <v>27</v>
      </c>
      <c r="P833" t="s">
        <v>51</v>
      </c>
      <c r="Q833">
        <v>36</v>
      </c>
      <c r="R833">
        <v>151.86000000000001</v>
      </c>
    </row>
    <row r="834" spans="1:18" x14ac:dyDescent="0.3">
      <c r="A834" t="s">
        <v>1729</v>
      </c>
      <c r="B834" t="s">
        <v>1730</v>
      </c>
      <c r="C834" t="s">
        <v>20</v>
      </c>
      <c r="D834" t="s">
        <v>59</v>
      </c>
      <c r="E834" s="4">
        <v>43017</v>
      </c>
      <c r="F834" t="s">
        <v>43</v>
      </c>
      <c r="G834" t="s">
        <v>33</v>
      </c>
      <c r="H834" t="s">
        <v>70</v>
      </c>
      <c r="I834" t="s">
        <v>76</v>
      </c>
      <c r="J834">
        <v>6</v>
      </c>
      <c r="K834">
        <v>519</v>
      </c>
      <c r="L834">
        <v>696.56</v>
      </c>
      <c r="M834">
        <v>35857</v>
      </c>
      <c r="N834" t="s">
        <v>26</v>
      </c>
      <c r="O834" t="s">
        <v>62</v>
      </c>
      <c r="P834" t="s">
        <v>25</v>
      </c>
      <c r="Q834">
        <v>12</v>
      </c>
      <c r="R834">
        <v>183.97</v>
      </c>
    </row>
    <row r="835" spans="1:18" x14ac:dyDescent="0.3">
      <c r="A835" t="s">
        <v>1731</v>
      </c>
      <c r="B835" t="s">
        <v>1732</v>
      </c>
      <c r="C835" t="s">
        <v>20</v>
      </c>
      <c r="D835" t="s">
        <v>82</v>
      </c>
      <c r="E835" s="4">
        <v>40578</v>
      </c>
      <c r="F835" t="s">
        <v>43</v>
      </c>
      <c r="G835" t="s">
        <v>102</v>
      </c>
      <c r="H835" t="s">
        <v>70</v>
      </c>
      <c r="I835" t="s">
        <v>92</v>
      </c>
      <c r="J835">
        <v>2</v>
      </c>
      <c r="K835">
        <v>1443</v>
      </c>
      <c r="L835">
        <v>3956.59</v>
      </c>
      <c r="M835">
        <v>16009</v>
      </c>
      <c r="N835" t="s">
        <v>26</v>
      </c>
      <c r="O835" t="s">
        <v>56</v>
      </c>
      <c r="P835" t="s">
        <v>45</v>
      </c>
      <c r="Q835">
        <v>29</v>
      </c>
      <c r="R835">
        <v>198.85</v>
      </c>
    </row>
    <row r="836" spans="1:18" x14ac:dyDescent="0.3">
      <c r="A836" t="s">
        <v>1733</v>
      </c>
      <c r="B836" t="s">
        <v>1734</v>
      </c>
      <c r="C836" t="s">
        <v>79</v>
      </c>
      <c r="D836" t="s">
        <v>21</v>
      </c>
      <c r="E836" s="4">
        <v>40497</v>
      </c>
      <c r="F836" t="s">
        <v>60</v>
      </c>
      <c r="G836" t="s">
        <v>49</v>
      </c>
      <c r="H836" t="s">
        <v>34</v>
      </c>
      <c r="I836" t="s">
        <v>51</v>
      </c>
      <c r="J836">
        <v>1</v>
      </c>
      <c r="K836">
        <v>868</v>
      </c>
      <c r="L836">
        <v>1168.26</v>
      </c>
      <c r="M836">
        <v>5182</v>
      </c>
      <c r="N836" t="s">
        <v>61</v>
      </c>
      <c r="O836" t="s">
        <v>27</v>
      </c>
      <c r="P836" t="s">
        <v>25</v>
      </c>
      <c r="Q836">
        <v>21</v>
      </c>
      <c r="R836">
        <v>18.88</v>
      </c>
    </row>
    <row r="837" spans="1:18" x14ac:dyDescent="0.3">
      <c r="A837" t="s">
        <v>1735</v>
      </c>
      <c r="B837" t="s">
        <v>1736</v>
      </c>
      <c r="C837" t="s">
        <v>68</v>
      </c>
      <c r="D837" t="s">
        <v>32</v>
      </c>
      <c r="E837" s="4">
        <v>44949</v>
      </c>
      <c r="F837" t="s">
        <v>43</v>
      </c>
      <c r="G837" t="s">
        <v>102</v>
      </c>
      <c r="H837" t="s">
        <v>70</v>
      </c>
      <c r="I837" t="s">
        <v>92</v>
      </c>
      <c r="J837">
        <v>0</v>
      </c>
      <c r="K837">
        <v>1418</v>
      </c>
      <c r="L837">
        <v>4050.34</v>
      </c>
      <c r="M837">
        <v>35631</v>
      </c>
      <c r="N837" t="s">
        <v>26</v>
      </c>
      <c r="O837" t="s">
        <v>56</v>
      </c>
      <c r="P837" t="s">
        <v>52</v>
      </c>
      <c r="Q837">
        <v>49</v>
      </c>
      <c r="R837">
        <v>249.97</v>
      </c>
    </row>
    <row r="838" spans="1:18" x14ac:dyDescent="0.3">
      <c r="A838" t="s">
        <v>1737</v>
      </c>
      <c r="B838" t="s">
        <v>1738</v>
      </c>
      <c r="C838" t="s">
        <v>116</v>
      </c>
      <c r="D838" t="s">
        <v>42</v>
      </c>
      <c r="E838" s="4">
        <v>46076</v>
      </c>
      <c r="F838" t="s">
        <v>43</v>
      </c>
      <c r="G838" t="s">
        <v>23</v>
      </c>
      <c r="H838" t="s">
        <v>75</v>
      </c>
      <c r="I838" t="s">
        <v>35</v>
      </c>
      <c r="J838">
        <v>6</v>
      </c>
      <c r="K838">
        <v>1285</v>
      </c>
      <c r="L838">
        <v>4772.6099999999997</v>
      </c>
      <c r="M838">
        <v>20539</v>
      </c>
      <c r="N838" t="s">
        <v>61</v>
      </c>
      <c r="O838" t="s">
        <v>37</v>
      </c>
      <c r="P838" t="s">
        <v>51</v>
      </c>
      <c r="Q838">
        <v>40</v>
      </c>
      <c r="R838">
        <v>183.93</v>
      </c>
    </row>
    <row r="839" spans="1:18" x14ac:dyDescent="0.3">
      <c r="A839" t="s">
        <v>1739</v>
      </c>
      <c r="B839" t="s">
        <v>1740</v>
      </c>
      <c r="C839" t="s">
        <v>41</v>
      </c>
      <c r="D839" t="s">
        <v>21</v>
      </c>
      <c r="E839" s="4">
        <v>43494</v>
      </c>
      <c r="F839" t="s">
        <v>43</v>
      </c>
      <c r="G839" t="s">
        <v>33</v>
      </c>
      <c r="H839" t="s">
        <v>75</v>
      </c>
      <c r="I839" t="s">
        <v>92</v>
      </c>
      <c r="J839">
        <v>5</v>
      </c>
      <c r="K839">
        <v>1490</v>
      </c>
      <c r="L839">
        <v>4721.26</v>
      </c>
      <c r="M839">
        <v>5738</v>
      </c>
      <c r="N839" t="s">
        <v>61</v>
      </c>
      <c r="O839" t="s">
        <v>27</v>
      </c>
      <c r="P839" t="s">
        <v>38</v>
      </c>
      <c r="Q839">
        <v>12</v>
      </c>
      <c r="R839">
        <v>189.03</v>
      </c>
    </row>
    <row r="840" spans="1:18" x14ac:dyDescent="0.3">
      <c r="A840" t="s">
        <v>1741</v>
      </c>
      <c r="B840" t="s">
        <v>1742</v>
      </c>
      <c r="C840" t="s">
        <v>97</v>
      </c>
      <c r="D840" t="s">
        <v>21</v>
      </c>
      <c r="E840" s="4">
        <v>45146</v>
      </c>
      <c r="F840" t="s">
        <v>60</v>
      </c>
      <c r="G840" t="s">
        <v>102</v>
      </c>
      <c r="H840" t="s">
        <v>70</v>
      </c>
      <c r="I840" t="s">
        <v>51</v>
      </c>
      <c r="J840">
        <v>8</v>
      </c>
      <c r="K840">
        <v>1234</v>
      </c>
      <c r="L840">
        <v>2552.52</v>
      </c>
      <c r="M840">
        <v>4167</v>
      </c>
      <c r="N840" t="s">
        <v>26</v>
      </c>
      <c r="O840" t="s">
        <v>56</v>
      </c>
      <c r="P840" t="s">
        <v>51</v>
      </c>
      <c r="Q840">
        <v>31</v>
      </c>
      <c r="R840">
        <v>187.95</v>
      </c>
    </row>
    <row r="841" spans="1:18" x14ac:dyDescent="0.3">
      <c r="A841" t="s">
        <v>1743</v>
      </c>
      <c r="B841" t="s">
        <v>1744</v>
      </c>
      <c r="C841" t="s">
        <v>31</v>
      </c>
      <c r="D841" t="s">
        <v>42</v>
      </c>
      <c r="E841" s="4">
        <v>43012</v>
      </c>
      <c r="F841" t="s">
        <v>22</v>
      </c>
      <c r="G841" t="s">
        <v>33</v>
      </c>
      <c r="H841" t="s">
        <v>24</v>
      </c>
      <c r="I841" t="s">
        <v>51</v>
      </c>
      <c r="J841">
        <v>3</v>
      </c>
      <c r="K841">
        <v>335</v>
      </c>
      <c r="L841">
        <v>3387.3</v>
      </c>
      <c r="M841">
        <v>19720</v>
      </c>
      <c r="N841" t="s">
        <v>36</v>
      </c>
      <c r="O841" t="s">
        <v>27</v>
      </c>
      <c r="P841" t="s">
        <v>45</v>
      </c>
      <c r="Q841">
        <v>40</v>
      </c>
      <c r="R841">
        <v>224.95</v>
      </c>
    </row>
    <row r="842" spans="1:18" x14ac:dyDescent="0.3">
      <c r="A842" t="s">
        <v>1745</v>
      </c>
      <c r="B842" t="s">
        <v>1746</v>
      </c>
      <c r="C842" t="s">
        <v>20</v>
      </c>
      <c r="D842" t="s">
        <v>82</v>
      </c>
      <c r="E842" s="4">
        <v>46144</v>
      </c>
      <c r="F842" t="s">
        <v>60</v>
      </c>
      <c r="G842" t="s">
        <v>83</v>
      </c>
      <c r="H842" t="s">
        <v>75</v>
      </c>
      <c r="I842" t="s">
        <v>35</v>
      </c>
      <c r="J842">
        <v>8</v>
      </c>
      <c r="K842">
        <v>485</v>
      </c>
      <c r="L842">
        <v>1948.69</v>
      </c>
      <c r="M842">
        <v>34500</v>
      </c>
      <c r="N842" t="s">
        <v>26</v>
      </c>
      <c r="O842" t="s">
        <v>56</v>
      </c>
      <c r="P842" t="s">
        <v>51</v>
      </c>
      <c r="Q842">
        <v>2</v>
      </c>
      <c r="R842">
        <v>65.09</v>
      </c>
    </row>
    <row r="843" spans="1:18" x14ac:dyDescent="0.3">
      <c r="A843" t="s">
        <v>1747</v>
      </c>
      <c r="B843" t="s">
        <v>1748</v>
      </c>
      <c r="C843" t="s">
        <v>79</v>
      </c>
      <c r="D843" t="s">
        <v>32</v>
      </c>
      <c r="E843" s="4">
        <v>43865</v>
      </c>
      <c r="F843" t="s">
        <v>69</v>
      </c>
      <c r="G843" t="s">
        <v>44</v>
      </c>
      <c r="H843" t="s">
        <v>34</v>
      </c>
      <c r="I843" t="s">
        <v>51</v>
      </c>
      <c r="J843">
        <v>2</v>
      </c>
      <c r="K843">
        <v>155</v>
      </c>
      <c r="L843">
        <v>4568.07</v>
      </c>
      <c r="M843">
        <v>34773</v>
      </c>
      <c r="N843" t="s">
        <v>26</v>
      </c>
      <c r="O843" t="s">
        <v>62</v>
      </c>
      <c r="P843" t="s">
        <v>38</v>
      </c>
      <c r="Q843">
        <v>8</v>
      </c>
      <c r="R843">
        <v>180.63</v>
      </c>
    </row>
    <row r="844" spans="1:18" x14ac:dyDescent="0.3">
      <c r="A844" t="s">
        <v>1749</v>
      </c>
      <c r="B844" t="s">
        <v>1750</v>
      </c>
      <c r="C844" t="s">
        <v>41</v>
      </c>
      <c r="D844" t="s">
        <v>59</v>
      </c>
      <c r="E844" s="4">
        <v>43966</v>
      </c>
      <c r="F844" t="s">
        <v>48</v>
      </c>
      <c r="G844" t="s">
        <v>33</v>
      </c>
      <c r="H844" t="s">
        <v>75</v>
      </c>
      <c r="I844" t="s">
        <v>34</v>
      </c>
      <c r="J844">
        <v>5</v>
      </c>
      <c r="K844">
        <v>117</v>
      </c>
      <c r="L844">
        <v>3674</v>
      </c>
      <c r="M844">
        <v>929</v>
      </c>
      <c r="N844" t="s">
        <v>26</v>
      </c>
      <c r="O844" t="s">
        <v>62</v>
      </c>
      <c r="P844" t="s">
        <v>51</v>
      </c>
      <c r="Q844">
        <v>12</v>
      </c>
      <c r="R844">
        <v>196.93</v>
      </c>
    </row>
    <row r="845" spans="1:18" x14ac:dyDescent="0.3">
      <c r="A845" t="s">
        <v>1751</v>
      </c>
      <c r="B845" t="s">
        <v>1752</v>
      </c>
      <c r="C845" t="s">
        <v>41</v>
      </c>
      <c r="D845" t="s">
        <v>82</v>
      </c>
      <c r="E845" s="4">
        <v>42504</v>
      </c>
      <c r="F845" t="s">
        <v>22</v>
      </c>
      <c r="G845" t="s">
        <v>23</v>
      </c>
      <c r="H845" t="s">
        <v>55</v>
      </c>
      <c r="I845" t="s">
        <v>92</v>
      </c>
      <c r="J845">
        <v>7</v>
      </c>
      <c r="K845">
        <v>498</v>
      </c>
      <c r="L845">
        <v>1104.07</v>
      </c>
      <c r="M845">
        <v>8412</v>
      </c>
      <c r="N845" t="s">
        <v>61</v>
      </c>
      <c r="O845" t="s">
        <v>56</v>
      </c>
      <c r="P845" t="s">
        <v>28</v>
      </c>
      <c r="Q845">
        <v>13</v>
      </c>
      <c r="R845">
        <v>162.49</v>
      </c>
    </row>
    <row r="846" spans="1:18" x14ac:dyDescent="0.3">
      <c r="A846" t="s">
        <v>1753</v>
      </c>
      <c r="B846" t="s">
        <v>1754</v>
      </c>
      <c r="C846" t="s">
        <v>79</v>
      </c>
      <c r="D846" t="s">
        <v>82</v>
      </c>
      <c r="E846" s="4">
        <v>45822</v>
      </c>
      <c r="F846" t="s">
        <v>43</v>
      </c>
      <c r="G846" t="s">
        <v>44</v>
      </c>
      <c r="H846" t="s">
        <v>50</v>
      </c>
      <c r="I846" t="s">
        <v>51</v>
      </c>
      <c r="J846">
        <v>7</v>
      </c>
      <c r="K846">
        <v>1280</v>
      </c>
      <c r="L846">
        <v>4424.82</v>
      </c>
      <c r="M846">
        <v>49915</v>
      </c>
      <c r="N846" t="s">
        <v>26</v>
      </c>
      <c r="O846" t="s">
        <v>37</v>
      </c>
      <c r="P846" t="s">
        <v>52</v>
      </c>
      <c r="Q846">
        <v>48</v>
      </c>
      <c r="R846">
        <v>112.23</v>
      </c>
    </row>
    <row r="847" spans="1:18" x14ac:dyDescent="0.3">
      <c r="A847" t="s">
        <v>1755</v>
      </c>
      <c r="B847" t="s">
        <v>1756</v>
      </c>
      <c r="C847" t="s">
        <v>31</v>
      </c>
      <c r="D847" t="s">
        <v>42</v>
      </c>
      <c r="E847" s="4">
        <v>41254</v>
      </c>
      <c r="F847" t="s">
        <v>60</v>
      </c>
      <c r="G847" t="s">
        <v>102</v>
      </c>
      <c r="H847" t="s">
        <v>50</v>
      </c>
      <c r="I847" t="s">
        <v>25</v>
      </c>
      <c r="J847">
        <v>1</v>
      </c>
      <c r="K847">
        <v>904</v>
      </c>
      <c r="L847">
        <v>4150.8900000000003</v>
      </c>
      <c r="M847">
        <v>43996</v>
      </c>
      <c r="N847" t="s">
        <v>26</v>
      </c>
      <c r="O847" t="s">
        <v>27</v>
      </c>
      <c r="P847" t="s">
        <v>25</v>
      </c>
      <c r="Q847">
        <v>28</v>
      </c>
      <c r="R847">
        <v>132.71</v>
      </c>
    </row>
    <row r="848" spans="1:18" x14ac:dyDescent="0.3">
      <c r="A848" t="s">
        <v>1757</v>
      </c>
      <c r="B848" t="s">
        <v>1758</v>
      </c>
      <c r="C848" t="s">
        <v>79</v>
      </c>
      <c r="D848" t="s">
        <v>42</v>
      </c>
      <c r="E848" s="4">
        <v>43109</v>
      </c>
      <c r="F848" t="s">
        <v>48</v>
      </c>
      <c r="G848" t="s">
        <v>33</v>
      </c>
      <c r="H848" t="s">
        <v>24</v>
      </c>
      <c r="I848" t="s">
        <v>35</v>
      </c>
      <c r="J848">
        <v>6</v>
      </c>
      <c r="K848">
        <v>333</v>
      </c>
      <c r="L848">
        <v>1480.29</v>
      </c>
      <c r="M848">
        <v>32238</v>
      </c>
      <c r="N848" t="s">
        <v>36</v>
      </c>
      <c r="O848" t="s">
        <v>62</v>
      </c>
      <c r="P848" t="s">
        <v>51</v>
      </c>
      <c r="Q848">
        <v>5</v>
      </c>
      <c r="R848">
        <v>241.85</v>
      </c>
    </row>
    <row r="849" spans="1:18" x14ac:dyDescent="0.3">
      <c r="A849" t="s">
        <v>1759</v>
      </c>
      <c r="B849" t="s">
        <v>1760</v>
      </c>
      <c r="C849" t="s">
        <v>68</v>
      </c>
      <c r="D849" t="s">
        <v>109</v>
      </c>
      <c r="E849" s="4">
        <v>41983</v>
      </c>
      <c r="F849" t="s">
        <v>43</v>
      </c>
      <c r="G849" t="s">
        <v>83</v>
      </c>
      <c r="H849" t="s">
        <v>55</v>
      </c>
      <c r="I849" t="s">
        <v>51</v>
      </c>
      <c r="J849">
        <v>1</v>
      </c>
      <c r="K849">
        <v>1033</v>
      </c>
      <c r="L849">
        <v>4303.3</v>
      </c>
      <c r="M849">
        <v>1675</v>
      </c>
      <c r="N849" t="s">
        <v>26</v>
      </c>
      <c r="O849" t="s">
        <v>27</v>
      </c>
      <c r="P849" t="s">
        <v>52</v>
      </c>
      <c r="Q849">
        <v>10</v>
      </c>
      <c r="R849">
        <v>137.28</v>
      </c>
    </row>
    <row r="850" spans="1:18" x14ac:dyDescent="0.3">
      <c r="A850" t="s">
        <v>1761</v>
      </c>
      <c r="B850" t="s">
        <v>1762</v>
      </c>
      <c r="C850" t="s">
        <v>116</v>
      </c>
      <c r="D850" t="s">
        <v>59</v>
      </c>
      <c r="E850" s="4">
        <v>42098</v>
      </c>
      <c r="F850" t="s">
        <v>69</v>
      </c>
      <c r="G850" t="s">
        <v>33</v>
      </c>
      <c r="H850" t="s">
        <v>55</v>
      </c>
      <c r="I850" t="s">
        <v>92</v>
      </c>
      <c r="J850">
        <v>3</v>
      </c>
      <c r="K850">
        <v>875</v>
      </c>
      <c r="L850">
        <v>3668.9</v>
      </c>
      <c r="M850">
        <v>8644</v>
      </c>
      <c r="N850" t="s">
        <v>36</v>
      </c>
      <c r="O850" t="s">
        <v>56</v>
      </c>
      <c r="P850" t="s">
        <v>38</v>
      </c>
      <c r="Q850">
        <v>35</v>
      </c>
      <c r="R850">
        <v>66.89</v>
      </c>
    </row>
    <row r="851" spans="1:18" x14ac:dyDescent="0.3">
      <c r="A851" t="s">
        <v>1763</v>
      </c>
      <c r="B851" t="s">
        <v>1764</v>
      </c>
      <c r="C851" t="s">
        <v>20</v>
      </c>
      <c r="D851" t="s">
        <v>82</v>
      </c>
      <c r="E851" s="4">
        <v>42298</v>
      </c>
      <c r="F851" t="s">
        <v>69</v>
      </c>
      <c r="G851" t="s">
        <v>102</v>
      </c>
      <c r="H851" t="s">
        <v>70</v>
      </c>
      <c r="I851" t="s">
        <v>35</v>
      </c>
      <c r="J851">
        <v>3</v>
      </c>
      <c r="K851">
        <v>1352</v>
      </c>
      <c r="L851">
        <v>924.5</v>
      </c>
      <c r="M851">
        <v>3550</v>
      </c>
      <c r="N851" t="s">
        <v>36</v>
      </c>
      <c r="O851" t="s">
        <v>27</v>
      </c>
      <c r="P851" t="s">
        <v>52</v>
      </c>
      <c r="Q851">
        <v>23</v>
      </c>
      <c r="R851">
        <v>52.76</v>
      </c>
    </row>
    <row r="852" spans="1:18" x14ac:dyDescent="0.3">
      <c r="A852" t="s">
        <v>1765</v>
      </c>
      <c r="B852" t="s">
        <v>1766</v>
      </c>
      <c r="C852" t="s">
        <v>116</v>
      </c>
      <c r="D852" t="s">
        <v>109</v>
      </c>
      <c r="E852" s="4">
        <v>40904</v>
      </c>
      <c r="F852" t="s">
        <v>60</v>
      </c>
      <c r="G852" t="s">
        <v>23</v>
      </c>
      <c r="H852" t="s">
        <v>24</v>
      </c>
      <c r="I852" t="s">
        <v>76</v>
      </c>
      <c r="J852">
        <v>0</v>
      </c>
      <c r="K852">
        <v>362</v>
      </c>
      <c r="L852">
        <v>4597.0600000000004</v>
      </c>
      <c r="M852">
        <v>6849</v>
      </c>
      <c r="N852" t="s">
        <v>36</v>
      </c>
      <c r="O852" t="s">
        <v>27</v>
      </c>
      <c r="P852" t="s">
        <v>25</v>
      </c>
      <c r="Q852">
        <v>43</v>
      </c>
      <c r="R852">
        <v>11.05</v>
      </c>
    </row>
    <row r="853" spans="1:18" x14ac:dyDescent="0.3">
      <c r="A853" t="s">
        <v>1767</v>
      </c>
      <c r="B853" t="s">
        <v>1768</v>
      </c>
      <c r="C853" t="s">
        <v>79</v>
      </c>
      <c r="D853" t="s">
        <v>42</v>
      </c>
      <c r="E853" s="4">
        <v>42098</v>
      </c>
      <c r="F853" t="s">
        <v>60</v>
      </c>
      <c r="G853" t="s">
        <v>33</v>
      </c>
      <c r="H853" t="s">
        <v>55</v>
      </c>
      <c r="I853" t="s">
        <v>76</v>
      </c>
      <c r="J853">
        <v>2</v>
      </c>
      <c r="K853">
        <v>1275</v>
      </c>
      <c r="L853">
        <v>2428.62</v>
      </c>
      <c r="M853">
        <v>15329</v>
      </c>
      <c r="N853" t="s">
        <v>36</v>
      </c>
      <c r="O853" t="s">
        <v>27</v>
      </c>
      <c r="P853" t="s">
        <v>51</v>
      </c>
      <c r="Q853">
        <v>12</v>
      </c>
      <c r="R853">
        <v>221.92</v>
      </c>
    </row>
    <row r="854" spans="1:18" x14ac:dyDescent="0.3">
      <c r="A854" t="s">
        <v>1769</v>
      </c>
      <c r="B854" t="s">
        <v>1770</v>
      </c>
      <c r="C854" t="s">
        <v>116</v>
      </c>
      <c r="D854" t="s">
        <v>82</v>
      </c>
      <c r="E854" s="4">
        <v>43751</v>
      </c>
      <c r="F854" t="s">
        <v>22</v>
      </c>
      <c r="G854" t="s">
        <v>23</v>
      </c>
      <c r="H854" t="s">
        <v>34</v>
      </c>
      <c r="I854" t="s">
        <v>35</v>
      </c>
      <c r="J854">
        <v>5</v>
      </c>
      <c r="K854">
        <v>1034</v>
      </c>
      <c r="L854">
        <v>380.72</v>
      </c>
      <c r="M854">
        <v>45537</v>
      </c>
      <c r="N854" t="s">
        <v>61</v>
      </c>
      <c r="O854" t="s">
        <v>37</v>
      </c>
      <c r="P854" t="s">
        <v>38</v>
      </c>
      <c r="Q854">
        <v>16</v>
      </c>
      <c r="R854">
        <v>91.84</v>
      </c>
    </row>
    <row r="855" spans="1:18" x14ac:dyDescent="0.3">
      <c r="A855" t="s">
        <v>1771</v>
      </c>
      <c r="B855" t="s">
        <v>1772</v>
      </c>
      <c r="C855" t="s">
        <v>41</v>
      </c>
      <c r="D855" t="s">
        <v>21</v>
      </c>
      <c r="E855" s="4">
        <v>41646</v>
      </c>
      <c r="F855" t="s">
        <v>22</v>
      </c>
      <c r="G855" t="s">
        <v>49</v>
      </c>
      <c r="H855" t="s">
        <v>34</v>
      </c>
      <c r="I855" t="s">
        <v>51</v>
      </c>
      <c r="J855">
        <v>8</v>
      </c>
      <c r="K855">
        <v>663</v>
      </c>
      <c r="L855">
        <v>494.23</v>
      </c>
      <c r="M855">
        <v>25743</v>
      </c>
      <c r="N855" t="s">
        <v>26</v>
      </c>
      <c r="O855" t="s">
        <v>37</v>
      </c>
      <c r="P855" t="s">
        <v>52</v>
      </c>
      <c r="Q855">
        <v>6</v>
      </c>
      <c r="R855">
        <v>222.09</v>
      </c>
    </row>
    <row r="856" spans="1:18" x14ac:dyDescent="0.3">
      <c r="A856" t="s">
        <v>1773</v>
      </c>
      <c r="B856" t="s">
        <v>1774</v>
      </c>
      <c r="C856" t="s">
        <v>97</v>
      </c>
      <c r="D856" t="s">
        <v>82</v>
      </c>
      <c r="E856" s="4">
        <v>42365</v>
      </c>
      <c r="F856" t="s">
        <v>69</v>
      </c>
      <c r="G856" t="s">
        <v>44</v>
      </c>
      <c r="H856" t="s">
        <v>50</v>
      </c>
      <c r="I856" t="s">
        <v>51</v>
      </c>
      <c r="J856">
        <v>4</v>
      </c>
      <c r="K856">
        <v>43</v>
      </c>
      <c r="L856">
        <v>1838</v>
      </c>
      <c r="M856">
        <v>43875</v>
      </c>
      <c r="N856" t="s">
        <v>61</v>
      </c>
      <c r="O856" t="s">
        <v>37</v>
      </c>
      <c r="P856" t="s">
        <v>28</v>
      </c>
      <c r="Q856">
        <v>31</v>
      </c>
      <c r="R856">
        <v>77.760000000000005</v>
      </c>
    </row>
    <row r="857" spans="1:18" x14ac:dyDescent="0.3">
      <c r="A857" t="s">
        <v>1775</v>
      </c>
      <c r="B857" t="s">
        <v>1776</v>
      </c>
      <c r="C857" t="s">
        <v>116</v>
      </c>
      <c r="D857" t="s">
        <v>32</v>
      </c>
      <c r="E857" s="4">
        <v>45550</v>
      </c>
      <c r="F857" t="s">
        <v>65</v>
      </c>
      <c r="G857" t="s">
        <v>33</v>
      </c>
      <c r="H857" t="s">
        <v>24</v>
      </c>
      <c r="I857" t="s">
        <v>76</v>
      </c>
      <c r="J857">
        <v>0</v>
      </c>
      <c r="K857">
        <v>658</v>
      </c>
      <c r="L857">
        <v>3714.83</v>
      </c>
      <c r="M857">
        <v>49999</v>
      </c>
      <c r="N857" t="s">
        <v>36</v>
      </c>
      <c r="O857" t="s">
        <v>56</v>
      </c>
      <c r="P857" t="s">
        <v>28</v>
      </c>
      <c r="Q857">
        <v>17</v>
      </c>
      <c r="R857">
        <v>58.23</v>
      </c>
    </row>
    <row r="858" spans="1:18" x14ac:dyDescent="0.3">
      <c r="A858" t="s">
        <v>1777</v>
      </c>
      <c r="B858" t="s">
        <v>1778</v>
      </c>
      <c r="C858" t="s">
        <v>68</v>
      </c>
      <c r="D858" t="s">
        <v>109</v>
      </c>
      <c r="E858" s="4">
        <v>40801</v>
      </c>
      <c r="F858" t="s">
        <v>69</v>
      </c>
      <c r="G858" t="s">
        <v>33</v>
      </c>
      <c r="H858" t="s">
        <v>70</v>
      </c>
      <c r="I858" t="s">
        <v>35</v>
      </c>
      <c r="J858">
        <v>6</v>
      </c>
      <c r="K858">
        <v>865</v>
      </c>
      <c r="L858">
        <v>2677.25</v>
      </c>
      <c r="M858">
        <v>20053</v>
      </c>
      <c r="N858" t="s">
        <v>26</v>
      </c>
      <c r="O858" t="s">
        <v>37</v>
      </c>
      <c r="P858" t="s">
        <v>45</v>
      </c>
      <c r="Q858">
        <v>21</v>
      </c>
      <c r="R858">
        <v>201.51</v>
      </c>
    </row>
    <row r="859" spans="1:18" x14ac:dyDescent="0.3">
      <c r="A859" t="s">
        <v>1779</v>
      </c>
      <c r="B859" t="s">
        <v>1780</v>
      </c>
      <c r="C859" t="s">
        <v>116</v>
      </c>
      <c r="D859" t="s">
        <v>42</v>
      </c>
      <c r="E859" s="4">
        <v>40876</v>
      </c>
      <c r="F859" t="s">
        <v>43</v>
      </c>
      <c r="G859" t="s">
        <v>102</v>
      </c>
      <c r="H859" t="s">
        <v>55</v>
      </c>
      <c r="I859" t="s">
        <v>25</v>
      </c>
      <c r="J859">
        <v>5</v>
      </c>
      <c r="K859">
        <v>567</v>
      </c>
      <c r="L859">
        <v>4949.54</v>
      </c>
      <c r="M859">
        <v>9880</v>
      </c>
      <c r="N859" t="s">
        <v>36</v>
      </c>
      <c r="O859" t="s">
        <v>56</v>
      </c>
      <c r="P859" t="s">
        <v>38</v>
      </c>
      <c r="Q859">
        <v>21</v>
      </c>
      <c r="R859">
        <v>20.76</v>
      </c>
    </row>
    <row r="860" spans="1:18" x14ac:dyDescent="0.3">
      <c r="A860" t="s">
        <v>1781</v>
      </c>
      <c r="B860" t="s">
        <v>1782</v>
      </c>
      <c r="C860" t="s">
        <v>41</v>
      </c>
      <c r="D860" t="s">
        <v>32</v>
      </c>
      <c r="E860" s="4">
        <v>43213</v>
      </c>
      <c r="F860" t="s">
        <v>60</v>
      </c>
      <c r="G860" t="s">
        <v>102</v>
      </c>
      <c r="H860" t="s">
        <v>75</v>
      </c>
      <c r="I860" t="s">
        <v>35</v>
      </c>
      <c r="J860">
        <v>2</v>
      </c>
      <c r="K860">
        <v>479</v>
      </c>
      <c r="L860">
        <v>4619.01</v>
      </c>
      <c r="M860">
        <v>16543</v>
      </c>
      <c r="N860" t="s">
        <v>26</v>
      </c>
      <c r="O860" t="s">
        <v>56</v>
      </c>
      <c r="P860" t="s">
        <v>52</v>
      </c>
      <c r="Q860">
        <v>4</v>
      </c>
      <c r="R860">
        <v>243.63</v>
      </c>
    </row>
    <row r="861" spans="1:18" x14ac:dyDescent="0.3">
      <c r="A861" t="s">
        <v>1783</v>
      </c>
      <c r="B861" t="s">
        <v>1784</v>
      </c>
      <c r="C861" t="s">
        <v>68</v>
      </c>
      <c r="D861" t="s">
        <v>82</v>
      </c>
      <c r="E861" s="4">
        <v>41175</v>
      </c>
      <c r="F861" t="s">
        <v>43</v>
      </c>
      <c r="G861" t="s">
        <v>49</v>
      </c>
      <c r="H861" t="s">
        <v>24</v>
      </c>
      <c r="I861" t="s">
        <v>34</v>
      </c>
      <c r="J861">
        <v>8</v>
      </c>
      <c r="K861">
        <v>1352</v>
      </c>
      <c r="L861">
        <v>118.41</v>
      </c>
      <c r="M861">
        <v>35403</v>
      </c>
      <c r="N861" t="s">
        <v>26</v>
      </c>
      <c r="O861" t="s">
        <v>27</v>
      </c>
      <c r="P861" t="s">
        <v>51</v>
      </c>
      <c r="Q861">
        <v>8</v>
      </c>
      <c r="R861">
        <v>35.92</v>
      </c>
    </row>
    <row r="862" spans="1:18" x14ac:dyDescent="0.3">
      <c r="A862" t="s">
        <v>1785</v>
      </c>
      <c r="B862" t="s">
        <v>1786</v>
      </c>
      <c r="C862" t="s">
        <v>20</v>
      </c>
      <c r="D862" t="s">
        <v>32</v>
      </c>
      <c r="E862" s="4">
        <v>42447</v>
      </c>
      <c r="F862" t="s">
        <v>69</v>
      </c>
      <c r="G862" t="s">
        <v>49</v>
      </c>
      <c r="H862" t="s">
        <v>55</v>
      </c>
      <c r="I862" t="s">
        <v>25</v>
      </c>
      <c r="J862">
        <v>0</v>
      </c>
      <c r="K862">
        <v>429</v>
      </c>
      <c r="L862">
        <v>1403.13</v>
      </c>
      <c r="M862">
        <v>12144</v>
      </c>
      <c r="N862" t="s">
        <v>26</v>
      </c>
      <c r="O862" t="s">
        <v>27</v>
      </c>
      <c r="P862" t="s">
        <v>51</v>
      </c>
      <c r="Q862">
        <v>36</v>
      </c>
      <c r="R862">
        <v>126.3</v>
      </c>
    </row>
    <row r="863" spans="1:18" x14ac:dyDescent="0.3">
      <c r="A863" t="s">
        <v>1787</v>
      </c>
      <c r="B863" t="s">
        <v>1788</v>
      </c>
      <c r="C863" t="s">
        <v>31</v>
      </c>
      <c r="D863" t="s">
        <v>109</v>
      </c>
      <c r="E863" s="4">
        <v>42261</v>
      </c>
      <c r="F863" t="s">
        <v>69</v>
      </c>
      <c r="G863" t="s">
        <v>33</v>
      </c>
      <c r="H863" t="s">
        <v>75</v>
      </c>
      <c r="I863" t="s">
        <v>51</v>
      </c>
      <c r="J863">
        <v>0</v>
      </c>
      <c r="K863">
        <v>144</v>
      </c>
      <c r="L863">
        <v>1298.81</v>
      </c>
      <c r="M863">
        <v>46440</v>
      </c>
      <c r="N863" t="s">
        <v>61</v>
      </c>
      <c r="O863" t="s">
        <v>62</v>
      </c>
      <c r="P863" t="s">
        <v>45</v>
      </c>
      <c r="Q863">
        <v>39</v>
      </c>
      <c r="R863">
        <v>184.51</v>
      </c>
    </row>
    <row r="864" spans="1:18" x14ac:dyDescent="0.3">
      <c r="A864" t="s">
        <v>1789</v>
      </c>
      <c r="B864" t="s">
        <v>1790</v>
      </c>
      <c r="C864" t="s">
        <v>41</v>
      </c>
      <c r="D864" t="s">
        <v>59</v>
      </c>
      <c r="E864" s="4">
        <v>45565</v>
      </c>
      <c r="F864" t="s">
        <v>69</v>
      </c>
      <c r="G864" t="s">
        <v>44</v>
      </c>
      <c r="H864" t="s">
        <v>55</v>
      </c>
      <c r="I864" t="s">
        <v>51</v>
      </c>
      <c r="J864">
        <v>4</v>
      </c>
      <c r="K864">
        <v>876</v>
      </c>
      <c r="L864">
        <v>2512.79</v>
      </c>
      <c r="M864">
        <v>15227</v>
      </c>
      <c r="N864" t="s">
        <v>61</v>
      </c>
      <c r="O864" t="s">
        <v>27</v>
      </c>
      <c r="P864" t="s">
        <v>45</v>
      </c>
      <c r="Q864">
        <v>3</v>
      </c>
      <c r="R864">
        <v>124.47</v>
      </c>
    </row>
    <row r="865" spans="1:18" x14ac:dyDescent="0.3">
      <c r="A865" t="s">
        <v>1791</v>
      </c>
      <c r="B865" t="s">
        <v>1792</v>
      </c>
      <c r="C865" t="s">
        <v>41</v>
      </c>
      <c r="D865" t="s">
        <v>59</v>
      </c>
      <c r="E865" s="4">
        <v>41360</v>
      </c>
      <c r="F865" t="s">
        <v>48</v>
      </c>
      <c r="G865" t="s">
        <v>44</v>
      </c>
      <c r="H865" t="s">
        <v>34</v>
      </c>
      <c r="I865" t="s">
        <v>34</v>
      </c>
      <c r="J865">
        <v>1</v>
      </c>
      <c r="K865">
        <v>38</v>
      </c>
      <c r="L865">
        <v>3003.02</v>
      </c>
      <c r="M865">
        <v>49406</v>
      </c>
      <c r="N865" t="s">
        <v>26</v>
      </c>
      <c r="O865" t="s">
        <v>37</v>
      </c>
      <c r="P865" t="s">
        <v>52</v>
      </c>
      <c r="Q865">
        <v>21</v>
      </c>
      <c r="R865">
        <v>123.38</v>
      </c>
    </row>
    <row r="866" spans="1:18" x14ac:dyDescent="0.3">
      <c r="A866" t="s">
        <v>1793</v>
      </c>
      <c r="B866" t="s">
        <v>1794</v>
      </c>
      <c r="C866" t="s">
        <v>41</v>
      </c>
      <c r="D866" t="s">
        <v>32</v>
      </c>
      <c r="E866" s="4">
        <v>42530</v>
      </c>
      <c r="F866" t="s">
        <v>60</v>
      </c>
      <c r="G866" t="s">
        <v>44</v>
      </c>
      <c r="H866" t="s">
        <v>50</v>
      </c>
      <c r="I866" t="s">
        <v>76</v>
      </c>
      <c r="J866">
        <v>4</v>
      </c>
      <c r="K866">
        <v>124</v>
      </c>
      <c r="L866">
        <v>3570.16</v>
      </c>
      <c r="M866">
        <v>16468</v>
      </c>
      <c r="N866" t="s">
        <v>26</v>
      </c>
      <c r="O866" t="s">
        <v>56</v>
      </c>
      <c r="P866" t="s">
        <v>25</v>
      </c>
      <c r="Q866">
        <v>10</v>
      </c>
      <c r="R866">
        <v>133.27000000000001</v>
      </c>
    </row>
    <row r="867" spans="1:18" x14ac:dyDescent="0.3">
      <c r="A867" t="s">
        <v>1795</v>
      </c>
      <c r="B867" t="s">
        <v>1796</v>
      </c>
      <c r="C867" t="s">
        <v>41</v>
      </c>
      <c r="D867" t="s">
        <v>82</v>
      </c>
      <c r="E867" s="4">
        <v>41184</v>
      </c>
      <c r="F867" t="s">
        <v>60</v>
      </c>
      <c r="G867" t="s">
        <v>33</v>
      </c>
      <c r="H867" t="s">
        <v>34</v>
      </c>
      <c r="I867" t="s">
        <v>76</v>
      </c>
      <c r="J867">
        <v>7</v>
      </c>
      <c r="K867">
        <v>1221</v>
      </c>
      <c r="L867">
        <v>4838.7700000000004</v>
      </c>
      <c r="M867">
        <v>5711</v>
      </c>
      <c r="N867" t="s">
        <v>61</v>
      </c>
      <c r="O867" t="s">
        <v>62</v>
      </c>
      <c r="P867" t="s">
        <v>52</v>
      </c>
      <c r="Q867">
        <v>4</v>
      </c>
      <c r="R867">
        <v>9.82</v>
      </c>
    </row>
    <row r="868" spans="1:18" x14ac:dyDescent="0.3">
      <c r="A868" t="s">
        <v>1797</v>
      </c>
      <c r="B868" t="s">
        <v>1798</v>
      </c>
      <c r="C868" t="s">
        <v>97</v>
      </c>
      <c r="D868" t="s">
        <v>109</v>
      </c>
      <c r="E868" s="4">
        <v>40807</v>
      </c>
      <c r="F868" t="s">
        <v>22</v>
      </c>
      <c r="G868" t="s">
        <v>23</v>
      </c>
      <c r="H868" t="s">
        <v>24</v>
      </c>
      <c r="I868" t="s">
        <v>34</v>
      </c>
      <c r="J868">
        <v>3</v>
      </c>
      <c r="K868">
        <v>1483</v>
      </c>
      <c r="L868">
        <v>1773.69</v>
      </c>
      <c r="M868">
        <v>8181</v>
      </c>
      <c r="N868" t="s">
        <v>36</v>
      </c>
      <c r="O868" t="s">
        <v>27</v>
      </c>
      <c r="P868" t="s">
        <v>25</v>
      </c>
      <c r="Q868">
        <v>19</v>
      </c>
      <c r="R868">
        <v>188.6</v>
      </c>
    </row>
    <row r="869" spans="1:18" x14ac:dyDescent="0.3">
      <c r="A869" t="s">
        <v>1799</v>
      </c>
      <c r="B869" t="s">
        <v>1800</v>
      </c>
      <c r="C869" t="s">
        <v>41</v>
      </c>
      <c r="D869" t="s">
        <v>42</v>
      </c>
      <c r="E869" s="4">
        <v>40707</v>
      </c>
      <c r="F869" t="s">
        <v>69</v>
      </c>
      <c r="G869" t="s">
        <v>44</v>
      </c>
      <c r="H869" t="s">
        <v>24</v>
      </c>
      <c r="I869" t="s">
        <v>76</v>
      </c>
      <c r="J869">
        <v>3</v>
      </c>
      <c r="K869">
        <v>538</v>
      </c>
      <c r="L869">
        <v>4021.11</v>
      </c>
      <c r="M869">
        <v>42597</v>
      </c>
      <c r="N869" t="s">
        <v>36</v>
      </c>
      <c r="O869" t="s">
        <v>56</v>
      </c>
      <c r="P869" t="s">
        <v>51</v>
      </c>
      <c r="Q869">
        <v>49</v>
      </c>
      <c r="R869">
        <v>196.71</v>
      </c>
    </row>
    <row r="870" spans="1:18" x14ac:dyDescent="0.3">
      <c r="A870" t="s">
        <v>1801</v>
      </c>
      <c r="B870" t="s">
        <v>1802</v>
      </c>
      <c r="C870" t="s">
        <v>20</v>
      </c>
      <c r="D870" t="s">
        <v>82</v>
      </c>
      <c r="E870" s="4">
        <v>42328</v>
      </c>
      <c r="F870" t="s">
        <v>43</v>
      </c>
      <c r="G870" t="s">
        <v>44</v>
      </c>
      <c r="H870" t="s">
        <v>55</v>
      </c>
      <c r="I870" t="s">
        <v>76</v>
      </c>
      <c r="J870">
        <v>0</v>
      </c>
      <c r="K870">
        <v>17</v>
      </c>
      <c r="L870">
        <v>4686.6099999999997</v>
      </c>
      <c r="M870">
        <v>46470</v>
      </c>
      <c r="N870" t="s">
        <v>26</v>
      </c>
      <c r="O870" t="s">
        <v>56</v>
      </c>
      <c r="P870" t="s">
        <v>28</v>
      </c>
      <c r="Q870">
        <v>50</v>
      </c>
      <c r="R870">
        <v>91.24</v>
      </c>
    </row>
    <row r="871" spans="1:18" x14ac:dyDescent="0.3">
      <c r="A871" t="s">
        <v>1803</v>
      </c>
      <c r="B871" t="s">
        <v>1804</v>
      </c>
      <c r="C871" t="s">
        <v>97</v>
      </c>
      <c r="D871" t="s">
        <v>59</v>
      </c>
      <c r="E871" s="4">
        <v>44032</v>
      </c>
      <c r="F871" t="s">
        <v>48</v>
      </c>
      <c r="G871" t="s">
        <v>23</v>
      </c>
      <c r="H871" t="s">
        <v>75</v>
      </c>
      <c r="I871" t="s">
        <v>35</v>
      </c>
      <c r="J871">
        <v>7</v>
      </c>
      <c r="K871">
        <v>1060</v>
      </c>
      <c r="L871">
        <v>3281.57</v>
      </c>
      <c r="M871">
        <v>46085</v>
      </c>
      <c r="N871" t="s">
        <v>61</v>
      </c>
      <c r="O871" t="s">
        <v>62</v>
      </c>
      <c r="P871" t="s">
        <v>45</v>
      </c>
      <c r="Q871">
        <v>13</v>
      </c>
      <c r="R871">
        <v>55.83</v>
      </c>
    </row>
    <row r="872" spans="1:18" x14ac:dyDescent="0.3">
      <c r="A872" t="s">
        <v>1805</v>
      </c>
      <c r="B872" t="s">
        <v>1806</v>
      </c>
      <c r="C872" t="s">
        <v>68</v>
      </c>
      <c r="D872" t="s">
        <v>21</v>
      </c>
      <c r="E872" s="4">
        <v>40379</v>
      </c>
      <c r="F872" t="s">
        <v>22</v>
      </c>
      <c r="G872" t="s">
        <v>23</v>
      </c>
      <c r="H872" t="s">
        <v>70</v>
      </c>
      <c r="I872" t="s">
        <v>25</v>
      </c>
      <c r="J872">
        <v>2</v>
      </c>
      <c r="K872">
        <v>1365</v>
      </c>
      <c r="L872">
        <v>815.19</v>
      </c>
      <c r="M872">
        <v>7809</v>
      </c>
      <c r="N872" t="s">
        <v>26</v>
      </c>
      <c r="O872" t="s">
        <v>62</v>
      </c>
      <c r="P872" t="s">
        <v>28</v>
      </c>
      <c r="Q872">
        <v>36</v>
      </c>
      <c r="R872">
        <v>177.09</v>
      </c>
    </row>
    <row r="873" spans="1:18" x14ac:dyDescent="0.3">
      <c r="A873" t="s">
        <v>1807</v>
      </c>
      <c r="B873" t="s">
        <v>1808</v>
      </c>
      <c r="C873" t="s">
        <v>68</v>
      </c>
      <c r="D873" t="s">
        <v>109</v>
      </c>
      <c r="E873" s="4">
        <v>40394</v>
      </c>
      <c r="F873" t="s">
        <v>69</v>
      </c>
      <c r="G873" t="s">
        <v>33</v>
      </c>
      <c r="H873" t="s">
        <v>24</v>
      </c>
      <c r="I873" t="s">
        <v>25</v>
      </c>
      <c r="J873">
        <v>6</v>
      </c>
      <c r="K873">
        <v>570</v>
      </c>
      <c r="L873">
        <v>606.37</v>
      </c>
      <c r="M873">
        <v>41965</v>
      </c>
      <c r="N873" t="s">
        <v>61</v>
      </c>
      <c r="O873" t="s">
        <v>37</v>
      </c>
      <c r="P873" t="s">
        <v>38</v>
      </c>
      <c r="Q873">
        <v>23</v>
      </c>
      <c r="R873">
        <v>227.16</v>
      </c>
    </row>
    <row r="874" spans="1:18" x14ac:dyDescent="0.3">
      <c r="A874" t="s">
        <v>1809</v>
      </c>
      <c r="B874" t="s">
        <v>1810</v>
      </c>
      <c r="C874" t="s">
        <v>41</v>
      </c>
      <c r="D874" t="s">
        <v>42</v>
      </c>
      <c r="E874" s="4">
        <v>46115</v>
      </c>
      <c r="F874" t="s">
        <v>69</v>
      </c>
      <c r="G874" t="s">
        <v>23</v>
      </c>
      <c r="H874" t="s">
        <v>55</v>
      </c>
      <c r="I874" t="s">
        <v>34</v>
      </c>
      <c r="J874">
        <v>4</v>
      </c>
      <c r="K874">
        <v>449</v>
      </c>
      <c r="L874">
        <v>1057.0999999999999</v>
      </c>
      <c r="M874">
        <v>28695</v>
      </c>
      <c r="N874" t="s">
        <v>36</v>
      </c>
      <c r="O874" t="s">
        <v>62</v>
      </c>
      <c r="P874" t="s">
        <v>28</v>
      </c>
      <c r="Q874">
        <v>7</v>
      </c>
      <c r="R874">
        <v>193.18</v>
      </c>
    </row>
    <row r="875" spans="1:18" x14ac:dyDescent="0.3">
      <c r="A875" t="s">
        <v>1811</v>
      </c>
      <c r="B875" t="s">
        <v>1812</v>
      </c>
      <c r="C875" t="s">
        <v>97</v>
      </c>
      <c r="D875" t="s">
        <v>59</v>
      </c>
      <c r="E875" s="4">
        <v>41022</v>
      </c>
      <c r="F875" t="s">
        <v>22</v>
      </c>
      <c r="G875" t="s">
        <v>44</v>
      </c>
      <c r="H875" t="s">
        <v>34</v>
      </c>
      <c r="I875" t="s">
        <v>34</v>
      </c>
      <c r="J875">
        <v>1</v>
      </c>
      <c r="K875">
        <v>368</v>
      </c>
      <c r="L875">
        <v>1227.05</v>
      </c>
      <c r="M875">
        <v>36090</v>
      </c>
      <c r="N875" t="s">
        <v>26</v>
      </c>
      <c r="O875" t="s">
        <v>27</v>
      </c>
      <c r="P875" t="s">
        <v>38</v>
      </c>
      <c r="Q875">
        <v>22</v>
      </c>
      <c r="R875">
        <v>219.46</v>
      </c>
    </row>
    <row r="876" spans="1:18" x14ac:dyDescent="0.3">
      <c r="A876" t="s">
        <v>1813</v>
      </c>
      <c r="B876" t="s">
        <v>1814</v>
      </c>
      <c r="C876" t="s">
        <v>31</v>
      </c>
      <c r="D876" t="s">
        <v>21</v>
      </c>
      <c r="E876" s="4">
        <v>45827</v>
      </c>
      <c r="F876" t="s">
        <v>60</v>
      </c>
      <c r="G876" t="s">
        <v>49</v>
      </c>
      <c r="H876" t="s">
        <v>55</v>
      </c>
      <c r="I876" t="s">
        <v>35</v>
      </c>
      <c r="J876">
        <v>8</v>
      </c>
      <c r="K876">
        <v>816</v>
      </c>
      <c r="L876">
        <v>2608.09</v>
      </c>
      <c r="M876">
        <v>26460</v>
      </c>
      <c r="N876" t="s">
        <v>36</v>
      </c>
      <c r="O876" t="s">
        <v>56</v>
      </c>
      <c r="P876" t="s">
        <v>51</v>
      </c>
      <c r="Q876">
        <v>20</v>
      </c>
      <c r="R876">
        <v>135.61000000000001</v>
      </c>
    </row>
    <row r="877" spans="1:18" x14ac:dyDescent="0.3">
      <c r="A877" t="s">
        <v>1815</v>
      </c>
      <c r="B877" t="s">
        <v>1816</v>
      </c>
      <c r="C877" t="s">
        <v>68</v>
      </c>
      <c r="D877" t="s">
        <v>32</v>
      </c>
      <c r="E877" s="4">
        <v>41787</v>
      </c>
      <c r="F877" t="s">
        <v>60</v>
      </c>
      <c r="G877" t="s">
        <v>44</v>
      </c>
      <c r="H877" t="s">
        <v>75</v>
      </c>
      <c r="I877" t="s">
        <v>25</v>
      </c>
      <c r="J877">
        <v>2</v>
      </c>
      <c r="K877">
        <v>945</v>
      </c>
      <c r="L877">
        <v>1558.3</v>
      </c>
      <c r="M877">
        <v>48741</v>
      </c>
      <c r="N877" t="s">
        <v>26</v>
      </c>
      <c r="O877" t="s">
        <v>27</v>
      </c>
      <c r="P877" t="s">
        <v>45</v>
      </c>
      <c r="Q877">
        <v>46</v>
      </c>
      <c r="R877">
        <v>59.17</v>
      </c>
    </row>
    <row r="878" spans="1:18" x14ac:dyDescent="0.3">
      <c r="A878" t="s">
        <v>1817</v>
      </c>
      <c r="B878" t="s">
        <v>1818</v>
      </c>
      <c r="C878" t="s">
        <v>68</v>
      </c>
      <c r="D878" t="s">
        <v>21</v>
      </c>
      <c r="E878" s="4">
        <v>43615</v>
      </c>
      <c r="F878" t="s">
        <v>69</v>
      </c>
      <c r="G878" t="s">
        <v>33</v>
      </c>
      <c r="H878" t="s">
        <v>50</v>
      </c>
      <c r="I878" t="s">
        <v>25</v>
      </c>
      <c r="J878">
        <v>1</v>
      </c>
      <c r="K878">
        <v>943</v>
      </c>
      <c r="L878">
        <v>3103.08</v>
      </c>
      <c r="M878">
        <v>46617</v>
      </c>
      <c r="N878" t="s">
        <v>36</v>
      </c>
      <c r="O878" t="s">
        <v>56</v>
      </c>
      <c r="P878" t="s">
        <v>52</v>
      </c>
      <c r="Q878">
        <v>31</v>
      </c>
      <c r="R878">
        <v>206.05</v>
      </c>
    </row>
    <row r="879" spans="1:18" x14ac:dyDescent="0.3">
      <c r="A879" t="s">
        <v>1819</v>
      </c>
      <c r="B879" t="s">
        <v>1820</v>
      </c>
      <c r="C879" t="s">
        <v>79</v>
      </c>
      <c r="D879" t="s">
        <v>109</v>
      </c>
      <c r="E879" s="4">
        <v>43916</v>
      </c>
      <c r="F879" t="s">
        <v>65</v>
      </c>
      <c r="G879" t="s">
        <v>23</v>
      </c>
      <c r="H879" t="s">
        <v>75</v>
      </c>
      <c r="I879" t="s">
        <v>76</v>
      </c>
      <c r="J879">
        <v>0</v>
      </c>
      <c r="K879">
        <v>560</v>
      </c>
      <c r="L879">
        <v>3139.7</v>
      </c>
      <c r="M879">
        <v>39716</v>
      </c>
      <c r="N879" t="s">
        <v>61</v>
      </c>
      <c r="O879" t="s">
        <v>62</v>
      </c>
      <c r="P879" t="s">
        <v>28</v>
      </c>
      <c r="Q879">
        <v>39</v>
      </c>
      <c r="R879">
        <v>245.02</v>
      </c>
    </row>
    <row r="880" spans="1:18" x14ac:dyDescent="0.3">
      <c r="A880" t="s">
        <v>1821</v>
      </c>
      <c r="B880" t="s">
        <v>1822</v>
      </c>
      <c r="C880" t="s">
        <v>79</v>
      </c>
      <c r="D880" t="s">
        <v>32</v>
      </c>
      <c r="E880" s="4">
        <v>40476</v>
      </c>
      <c r="F880" t="s">
        <v>60</v>
      </c>
      <c r="G880" t="s">
        <v>102</v>
      </c>
      <c r="H880" t="s">
        <v>55</v>
      </c>
      <c r="I880" t="s">
        <v>35</v>
      </c>
      <c r="J880">
        <v>2</v>
      </c>
      <c r="K880">
        <v>1492</v>
      </c>
      <c r="L880">
        <v>529.62</v>
      </c>
      <c r="M880">
        <v>4472</v>
      </c>
      <c r="N880" t="s">
        <v>36</v>
      </c>
      <c r="O880" t="s">
        <v>56</v>
      </c>
      <c r="P880" t="s">
        <v>38</v>
      </c>
      <c r="Q880">
        <v>41</v>
      </c>
      <c r="R880">
        <v>151.72999999999999</v>
      </c>
    </row>
    <row r="881" spans="1:18" x14ac:dyDescent="0.3">
      <c r="A881" t="s">
        <v>1823</v>
      </c>
      <c r="B881" t="s">
        <v>1824</v>
      </c>
      <c r="C881" t="s">
        <v>31</v>
      </c>
      <c r="D881" t="s">
        <v>59</v>
      </c>
      <c r="E881" s="4">
        <v>45683</v>
      </c>
      <c r="F881" t="s">
        <v>22</v>
      </c>
      <c r="G881" t="s">
        <v>102</v>
      </c>
      <c r="H881" t="s">
        <v>50</v>
      </c>
      <c r="I881" t="s">
        <v>51</v>
      </c>
      <c r="J881">
        <v>4</v>
      </c>
      <c r="K881">
        <v>764</v>
      </c>
      <c r="L881">
        <v>1410.67</v>
      </c>
      <c r="M881">
        <v>29813</v>
      </c>
      <c r="N881" t="s">
        <v>36</v>
      </c>
      <c r="O881" t="s">
        <v>56</v>
      </c>
      <c r="P881" t="s">
        <v>45</v>
      </c>
      <c r="Q881">
        <v>19</v>
      </c>
      <c r="R881">
        <v>48.87</v>
      </c>
    </row>
    <row r="882" spans="1:18" x14ac:dyDescent="0.3">
      <c r="A882" t="s">
        <v>1825</v>
      </c>
      <c r="B882" t="s">
        <v>1826</v>
      </c>
      <c r="C882" t="s">
        <v>79</v>
      </c>
      <c r="D882" t="s">
        <v>21</v>
      </c>
      <c r="E882" s="4">
        <v>44609</v>
      </c>
      <c r="F882" t="s">
        <v>69</v>
      </c>
      <c r="G882" t="s">
        <v>102</v>
      </c>
      <c r="H882" t="s">
        <v>70</v>
      </c>
      <c r="I882" t="s">
        <v>34</v>
      </c>
      <c r="J882">
        <v>2</v>
      </c>
      <c r="K882">
        <v>468</v>
      </c>
      <c r="L882">
        <v>2397.0100000000002</v>
      </c>
      <c r="M882">
        <v>35843</v>
      </c>
      <c r="N882" t="s">
        <v>36</v>
      </c>
      <c r="O882" t="s">
        <v>56</v>
      </c>
      <c r="P882" t="s">
        <v>38</v>
      </c>
      <c r="Q882">
        <v>27</v>
      </c>
      <c r="R882">
        <v>53.46</v>
      </c>
    </row>
    <row r="883" spans="1:18" x14ac:dyDescent="0.3">
      <c r="A883" t="s">
        <v>1827</v>
      </c>
      <c r="B883" t="s">
        <v>1828</v>
      </c>
      <c r="C883" t="s">
        <v>41</v>
      </c>
      <c r="D883" t="s">
        <v>82</v>
      </c>
      <c r="E883" s="4">
        <v>42246</v>
      </c>
      <c r="F883" t="s">
        <v>43</v>
      </c>
      <c r="G883" t="s">
        <v>44</v>
      </c>
      <c r="H883" t="s">
        <v>50</v>
      </c>
      <c r="I883" t="s">
        <v>25</v>
      </c>
      <c r="J883">
        <v>0</v>
      </c>
      <c r="K883">
        <v>268</v>
      </c>
      <c r="L883">
        <v>1744.54</v>
      </c>
      <c r="M883">
        <v>7259</v>
      </c>
      <c r="N883" t="s">
        <v>36</v>
      </c>
      <c r="O883" t="s">
        <v>56</v>
      </c>
      <c r="P883" t="s">
        <v>38</v>
      </c>
      <c r="Q883">
        <v>21</v>
      </c>
      <c r="R883">
        <v>28.46</v>
      </c>
    </row>
    <row r="884" spans="1:18" x14ac:dyDescent="0.3">
      <c r="A884" t="s">
        <v>1829</v>
      </c>
      <c r="B884" t="s">
        <v>1830</v>
      </c>
      <c r="C884" t="s">
        <v>68</v>
      </c>
      <c r="D884" t="s">
        <v>109</v>
      </c>
      <c r="E884" s="4">
        <v>42430</v>
      </c>
      <c r="F884" t="s">
        <v>43</v>
      </c>
      <c r="G884" t="s">
        <v>44</v>
      </c>
      <c r="H884" t="s">
        <v>55</v>
      </c>
      <c r="I884" t="s">
        <v>76</v>
      </c>
      <c r="J884">
        <v>4</v>
      </c>
      <c r="K884">
        <v>855</v>
      </c>
      <c r="L884">
        <v>1372.24</v>
      </c>
      <c r="M884">
        <v>28727</v>
      </c>
      <c r="N884" t="s">
        <v>26</v>
      </c>
      <c r="O884" t="s">
        <v>56</v>
      </c>
      <c r="P884" t="s">
        <v>51</v>
      </c>
      <c r="Q884">
        <v>34</v>
      </c>
      <c r="R884">
        <v>4.2</v>
      </c>
    </row>
    <row r="885" spans="1:18" x14ac:dyDescent="0.3">
      <c r="A885" t="s">
        <v>1831</v>
      </c>
      <c r="B885" t="s">
        <v>1832</v>
      </c>
      <c r="C885" t="s">
        <v>20</v>
      </c>
      <c r="D885" t="s">
        <v>42</v>
      </c>
      <c r="E885" s="4">
        <v>41490</v>
      </c>
      <c r="F885" t="s">
        <v>43</v>
      </c>
      <c r="G885" t="s">
        <v>49</v>
      </c>
      <c r="H885" t="s">
        <v>24</v>
      </c>
      <c r="I885" t="s">
        <v>34</v>
      </c>
      <c r="J885">
        <v>3</v>
      </c>
      <c r="K885">
        <v>1248</v>
      </c>
      <c r="L885">
        <v>1042</v>
      </c>
      <c r="M885">
        <v>6435</v>
      </c>
      <c r="N885" t="s">
        <v>61</v>
      </c>
      <c r="O885" t="s">
        <v>62</v>
      </c>
      <c r="P885" t="s">
        <v>28</v>
      </c>
      <c r="Q885">
        <v>21</v>
      </c>
      <c r="R885">
        <v>163.61000000000001</v>
      </c>
    </row>
    <row r="886" spans="1:18" x14ac:dyDescent="0.3">
      <c r="A886" t="s">
        <v>1833</v>
      </c>
      <c r="B886" t="s">
        <v>1834</v>
      </c>
      <c r="C886" t="s">
        <v>31</v>
      </c>
      <c r="D886" t="s">
        <v>109</v>
      </c>
      <c r="E886" s="4">
        <v>44970</v>
      </c>
      <c r="F886" t="s">
        <v>22</v>
      </c>
      <c r="G886" t="s">
        <v>23</v>
      </c>
      <c r="H886" t="s">
        <v>50</v>
      </c>
      <c r="I886" t="s">
        <v>25</v>
      </c>
      <c r="J886">
        <v>7</v>
      </c>
      <c r="K886">
        <v>791</v>
      </c>
      <c r="L886">
        <v>368.84</v>
      </c>
      <c r="M886">
        <v>33081</v>
      </c>
      <c r="N886" t="s">
        <v>36</v>
      </c>
      <c r="O886" t="s">
        <v>27</v>
      </c>
      <c r="P886" t="s">
        <v>28</v>
      </c>
      <c r="Q886">
        <v>26</v>
      </c>
      <c r="R886">
        <v>72.959999999999994</v>
      </c>
    </row>
    <row r="887" spans="1:18" x14ac:dyDescent="0.3">
      <c r="A887" t="s">
        <v>1835</v>
      </c>
      <c r="B887" t="s">
        <v>1836</v>
      </c>
      <c r="C887" t="s">
        <v>41</v>
      </c>
      <c r="D887" t="s">
        <v>59</v>
      </c>
      <c r="E887" s="4">
        <v>45961</v>
      </c>
      <c r="F887" t="s">
        <v>69</v>
      </c>
      <c r="G887" t="s">
        <v>102</v>
      </c>
      <c r="H887" t="s">
        <v>75</v>
      </c>
      <c r="I887" t="s">
        <v>92</v>
      </c>
      <c r="J887">
        <v>6</v>
      </c>
      <c r="K887">
        <v>1385</v>
      </c>
      <c r="L887">
        <v>3969.3</v>
      </c>
      <c r="M887">
        <v>16504</v>
      </c>
      <c r="N887" t="s">
        <v>36</v>
      </c>
      <c r="O887" t="s">
        <v>37</v>
      </c>
      <c r="P887" t="s">
        <v>25</v>
      </c>
      <c r="Q887">
        <v>35</v>
      </c>
      <c r="R887">
        <v>227.94</v>
      </c>
    </row>
    <row r="888" spans="1:18" x14ac:dyDescent="0.3">
      <c r="A888" t="s">
        <v>1837</v>
      </c>
      <c r="B888" t="s">
        <v>1838</v>
      </c>
      <c r="C888" t="s">
        <v>31</v>
      </c>
      <c r="D888" t="s">
        <v>59</v>
      </c>
      <c r="E888" s="4">
        <v>40229</v>
      </c>
      <c r="F888" t="s">
        <v>22</v>
      </c>
      <c r="G888" t="s">
        <v>44</v>
      </c>
      <c r="H888" t="s">
        <v>70</v>
      </c>
      <c r="I888" t="s">
        <v>51</v>
      </c>
      <c r="J888">
        <v>0</v>
      </c>
      <c r="K888">
        <v>388</v>
      </c>
      <c r="L888">
        <v>462.37</v>
      </c>
      <c r="M888">
        <v>12986</v>
      </c>
      <c r="N888" t="s">
        <v>36</v>
      </c>
      <c r="O888" t="s">
        <v>27</v>
      </c>
      <c r="P888" t="s">
        <v>45</v>
      </c>
      <c r="Q888">
        <v>40</v>
      </c>
      <c r="R888">
        <v>30.4</v>
      </c>
    </row>
    <row r="889" spans="1:18" x14ac:dyDescent="0.3">
      <c r="A889" t="s">
        <v>1839</v>
      </c>
      <c r="B889" t="s">
        <v>1840</v>
      </c>
      <c r="C889" t="s">
        <v>41</v>
      </c>
      <c r="D889" t="s">
        <v>59</v>
      </c>
      <c r="E889" s="4">
        <v>40971</v>
      </c>
      <c r="F889" t="s">
        <v>60</v>
      </c>
      <c r="G889" t="s">
        <v>83</v>
      </c>
      <c r="H889" t="s">
        <v>50</v>
      </c>
      <c r="I889" t="s">
        <v>92</v>
      </c>
      <c r="J889">
        <v>6</v>
      </c>
      <c r="K889">
        <v>655</v>
      </c>
      <c r="L889">
        <v>2049.73</v>
      </c>
      <c r="M889">
        <v>21316</v>
      </c>
      <c r="N889" t="s">
        <v>36</v>
      </c>
      <c r="O889" t="s">
        <v>56</v>
      </c>
      <c r="P889" t="s">
        <v>28</v>
      </c>
      <c r="Q889">
        <v>22</v>
      </c>
      <c r="R889">
        <v>167.9</v>
      </c>
    </row>
    <row r="890" spans="1:18" x14ac:dyDescent="0.3">
      <c r="A890" t="s">
        <v>1841</v>
      </c>
      <c r="B890" t="s">
        <v>1842</v>
      </c>
      <c r="C890" t="s">
        <v>31</v>
      </c>
      <c r="D890" t="s">
        <v>82</v>
      </c>
      <c r="E890" s="4">
        <v>42079</v>
      </c>
      <c r="F890" t="s">
        <v>48</v>
      </c>
      <c r="G890" t="s">
        <v>44</v>
      </c>
      <c r="H890" t="s">
        <v>55</v>
      </c>
      <c r="I890" t="s">
        <v>34</v>
      </c>
      <c r="J890">
        <v>1</v>
      </c>
      <c r="K890">
        <v>170</v>
      </c>
      <c r="L890">
        <v>4800.05</v>
      </c>
      <c r="M890">
        <v>24169</v>
      </c>
      <c r="N890" t="s">
        <v>36</v>
      </c>
      <c r="O890" t="s">
        <v>62</v>
      </c>
      <c r="P890" t="s">
        <v>51</v>
      </c>
      <c r="Q890">
        <v>13</v>
      </c>
      <c r="R890">
        <v>30.8</v>
      </c>
    </row>
    <row r="891" spans="1:18" x14ac:dyDescent="0.3">
      <c r="A891" t="s">
        <v>1843</v>
      </c>
      <c r="B891" t="s">
        <v>1844</v>
      </c>
      <c r="C891" t="s">
        <v>68</v>
      </c>
      <c r="D891" t="s">
        <v>109</v>
      </c>
      <c r="E891" s="4">
        <v>42474</v>
      </c>
      <c r="F891" t="s">
        <v>69</v>
      </c>
      <c r="G891" t="s">
        <v>44</v>
      </c>
      <c r="H891" t="s">
        <v>55</v>
      </c>
      <c r="I891" t="s">
        <v>51</v>
      </c>
      <c r="J891">
        <v>4</v>
      </c>
      <c r="K891">
        <v>886</v>
      </c>
      <c r="L891">
        <v>233.23</v>
      </c>
      <c r="M891">
        <v>4728</v>
      </c>
      <c r="N891" t="s">
        <v>36</v>
      </c>
      <c r="O891" t="s">
        <v>27</v>
      </c>
      <c r="P891" t="s">
        <v>38</v>
      </c>
      <c r="Q891">
        <v>24</v>
      </c>
      <c r="R891">
        <v>168.03</v>
      </c>
    </row>
    <row r="892" spans="1:18" x14ac:dyDescent="0.3">
      <c r="A892" t="s">
        <v>1845</v>
      </c>
      <c r="B892" t="s">
        <v>1846</v>
      </c>
      <c r="C892" t="s">
        <v>68</v>
      </c>
      <c r="D892" t="s">
        <v>82</v>
      </c>
      <c r="E892" s="4">
        <v>42298</v>
      </c>
      <c r="F892" t="s">
        <v>65</v>
      </c>
      <c r="G892" t="s">
        <v>23</v>
      </c>
      <c r="H892" t="s">
        <v>75</v>
      </c>
      <c r="I892" t="s">
        <v>51</v>
      </c>
      <c r="J892">
        <v>4</v>
      </c>
      <c r="K892">
        <v>463</v>
      </c>
      <c r="L892">
        <v>3944.26</v>
      </c>
      <c r="M892">
        <v>13432</v>
      </c>
      <c r="N892" t="s">
        <v>26</v>
      </c>
      <c r="O892" t="s">
        <v>27</v>
      </c>
      <c r="P892" t="s">
        <v>52</v>
      </c>
      <c r="Q892">
        <v>16</v>
      </c>
      <c r="R892">
        <v>8.3699999999999992</v>
      </c>
    </row>
    <row r="893" spans="1:18" x14ac:dyDescent="0.3">
      <c r="A893" t="s">
        <v>1847</v>
      </c>
      <c r="B893" t="s">
        <v>1848</v>
      </c>
      <c r="C893" t="s">
        <v>116</v>
      </c>
      <c r="D893" t="s">
        <v>109</v>
      </c>
      <c r="E893" s="4">
        <v>42613</v>
      </c>
      <c r="F893" t="s">
        <v>65</v>
      </c>
      <c r="G893" t="s">
        <v>102</v>
      </c>
      <c r="H893" t="s">
        <v>75</v>
      </c>
      <c r="I893" t="s">
        <v>51</v>
      </c>
      <c r="J893">
        <v>1</v>
      </c>
      <c r="K893">
        <v>1048</v>
      </c>
      <c r="L893">
        <v>2322.94</v>
      </c>
      <c r="M893">
        <v>24460</v>
      </c>
      <c r="N893" t="s">
        <v>61</v>
      </c>
      <c r="O893" t="s">
        <v>56</v>
      </c>
      <c r="P893" t="s">
        <v>45</v>
      </c>
      <c r="Q893">
        <v>46</v>
      </c>
      <c r="R893">
        <v>74.69</v>
      </c>
    </row>
    <row r="894" spans="1:18" x14ac:dyDescent="0.3">
      <c r="A894" t="s">
        <v>1849</v>
      </c>
      <c r="B894" t="s">
        <v>1850</v>
      </c>
      <c r="C894" t="s">
        <v>79</v>
      </c>
      <c r="D894" t="s">
        <v>59</v>
      </c>
      <c r="E894" s="4">
        <v>40307</v>
      </c>
      <c r="F894" t="s">
        <v>65</v>
      </c>
      <c r="G894" t="s">
        <v>33</v>
      </c>
      <c r="H894" t="s">
        <v>70</v>
      </c>
      <c r="I894" t="s">
        <v>76</v>
      </c>
      <c r="J894">
        <v>0</v>
      </c>
      <c r="K894">
        <v>550</v>
      </c>
      <c r="L894">
        <v>311.12</v>
      </c>
      <c r="M894">
        <v>7484</v>
      </c>
      <c r="N894" t="s">
        <v>61</v>
      </c>
      <c r="O894" t="s">
        <v>56</v>
      </c>
      <c r="P894" t="s">
        <v>25</v>
      </c>
      <c r="Q894">
        <v>26</v>
      </c>
      <c r="R894">
        <v>71.150000000000006</v>
      </c>
    </row>
    <row r="895" spans="1:18" x14ac:dyDescent="0.3">
      <c r="A895" t="s">
        <v>1851</v>
      </c>
      <c r="B895" t="s">
        <v>1852</v>
      </c>
      <c r="C895" t="s">
        <v>31</v>
      </c>
      <c r="D895" t="s">
        <v>21</v>
      </c>
      <c r="E895" s="4">
        <v>42742</v>
      </c>
      <c r="F895" t="s">
        <v>69</v>
      </c>
      <c r="G895" t="s">
        <v>83</v>
      </c>
      <c r="H895" t="s">
        <v>24</v>
      </c>
      <c r="I895" t="s">
        <v>76</v>
      </c>
      <c r="J895">
        <v>2</v>
      </c>
      <c r="K895">
        <v>1343</v>
      </c>
      <c r="L895">
        <v>4250.59</v>
      </c>
      <c r="M895">
        <v>15532</v>
      </c>
      <c r="N895" t="s">
        <v>26</v>
      </c>
      <c r="O895" t="s">
        <v>56</v>
      </c>
      <c r="P895" t="s">
        <v>28</v>
      </c>
      <c r="Q895">
        <v>39</v>
      </c>
      <c r="R895">
        <v>95.73</v>
      </c>
    </row>
    <row r="896" spans="1:18" x14ac:dyDescent="0.3">
      <c r="A896" t="s">
        <v>1853</v>
      </c>
      <c r="B896" t="s">
        <v>1854</v>
      </c>
      <c r="C896" t="s">
        <v>31</v>
      </c>
      <c r="D896" t="s">
        <v>82</v>
      </c>
      <c r="E896" s="4">
        <v>40412</v>
      </c>
      <c r="F896" t="s">
        <v>69</v>
      </c>
      <c r="G896" t="s">
        <v>102</v>
      </c>
      <c r="H896" t="s">
        <v>50</v>
      </c>
      <c r="I896" t="s">
        <v>76</v>
      </c>
      <c r="J896">
        <v>7</v>
      </c>
      <c r="K896">
        <v>767</v>
      </c>
      <c r="L896">
        <v>4688.57</v>
      </c>
      <c r="M896">
        <v>23735</v>
      </c>
      <c r="N896" t="s">
        <v>36</v>
      </c>
      <c r="O896" t="s">
        <v>56</v>
      </c>
      <c r="P896" t="s">
        <v>45</v>
      </c>
      <c r="Q896">
        <v>39</v>
      </c>
      <c r="R896">
        <v>17.149999999999999</v>
      </c>
    </row>
    <row r="897" spans="1:18" x14ac:dyDescent="0.3">
      <c r="A897" t="s">
        <v>1855</v>
      </c>
      <c r="B897" t="s">
        <v>1856</v>
      </c>
      <c r="C897" t="s">
        <v>68</v>
      </c>
      <c r="D897" t="s">
        <v>59</v>
      </c>
      <c r="E897" s="4">
        <v>41176</v>
      </c>
      <c r="F897" t="s">
        <v>22</v>
      </c>
      <c r="G897" t="s">
        <v>83</v>
      </c>
      <c r="H897" t="s">
        <v>24</v>
      </c>
      <c r="I897" t="s">
        <v>92</v>
      </c>
      <c r="J897">
        <v>3</v>
      </c>
      <c r="K897">
        <v>940</v>
      </c>
      <c r="L897">
        <v>440.6</v>
      </c>
      <c r="M897">
        <v>44437</v>
      </c>
      <c r="N897" t="s">
        <v>61</v>
      </c>
      <c r="O897" t="s">
        <v>37</v>
      </c>
      <c r="P897" t="s">
        <v>51</v>
      </c>
      <c r="Q897">
        <v>46</v>
      </c>
      <c r="R897">
        <v>87.57</v>
      </c>
    </row>
    <row r="898" spans="1:18" x14ac:dyDescent="0.3">
      <c r="A898" t="s">
        <v>1857</v>
      </c>
      <c r="B898" t="s">
        <v>1858</v>
      </c>
      <c r="C898" t="s">
        <v>31</v>
      </c>
      <c r="D898" t="s">
        <v>59</v>
      </c>
      <c r="E898" s="4">
        <v>41238</v>
      </c>
      <c r="F898" t="s">
        <v>65</v>
      </c>
      <c r="G898" t="s">
        <v>49</v>
      </c>
      <c r="H898" t="s">
        <v>24</v>
      </c>
      <c r="I898" t="s">
        <v>76</v>
      </c>
      <c r="J898">
        <v>4</v>
      </c>
      <c r="K898">
        <v>234</v>
      </c>
      <c r="L898">
        <v>150.96</v>
      </c>
      <c r="M898">
        <v>11455</v>
      </c>
      <c r="N898" t="s">
        <v>26</v>
      </c>
      <c r="O898" t="s">
        <v>56</v>
      </c>
      <c r="P898" t="s">
        <v>52</v>
      </c>
      <c r="Q898">
        <v>32</v>
      </c>
      <c r="R898">
        <v>143.75</v>
      </c>
    </row>
    <row r="899" spans="1:18" x14ac:dyDescent="0.3">
      <c r="A899" t="s">
        <v>1859</v>
      </c>
      <c r="B899" t="s">
        <v>1860</v>
      </c>
      <c r="C899" t="s">
        <v>31</v>
      </c>
      <c r="D899" t="s">
        <v>32</v>
      </c>
      <c r="E899" s="4">
        <v>42342</v>
      </c>
      <c r="F899" t="s">
        <v>22</v>
      </c>
      <c r="G899" t="s">
        <v>44</v>
      </c>
      <c r="H899" t="s">
        <v>70</v>
      </c>
      <c r="I899" t="s">
        <v>76</v>
      </c>
      <c r="J899">
        <v>8</v>
      </c>
      <c r="K899">
        <v>1334</v>
      </c>
      <c r="L899">
        <v>1973.68</v>
      </c>
      <c r="M899">
        <v>9355</v>
      </c>
      <c r="N899" t="s">
        <v>61</v>
      </c>
      <c r="O899" t="s">
        <v>37</v>
      </c>
      <c r="P899" t="s">
        <v>51</v>
      </c>
      <c r="Q899">
        <v>24</v>
      </c>
      <c r="R899">
        <v>80.81</v>
      </c>
    </row>
    <row r="900" spans="1:18" x14ac:dyDescent="0.3">
      <c r="A900" t="s">
        <v>1861</v>
      </c>
      <c r="B900" t="s">
        <v>1862</v>
      </c>
      <c r="C900" t="s">
        <v>31</v>
      </c>
      <c r="D900" t="s">
        <v>82</v>
      </c>
      <c r="E900" s="4">
        <v>44195</v>
      </c>
      <c r="F900" t="s">
        <v>43</v>
      </c>
      <c r="G900" t="s">
        <v>33</v>
      </c>
      <c r="H900" t="s">
        <v>50</v>
      </c>
      <c r="I900" t="s">
        <v>76</v>
      </c>
      <c r="J900">
        <v>8</v>
      </c>
      <c r="K900">
        <v>799</v>
      </c>
      <c r="L900">
        <v>4115.01</v>
      </c>
      <c r="M900">
        <v>3618</v>
      </c>
      <c r="N900" t="s">
        <v>26</v>
      </c>
      <c r="O900" t="s">
        <v>62</v>
      </c>
      <c r="P900" t="s">
        <v>38</v>
      </c>
      <c r="Q900">
        <v>21</v>
      </c>
      <c r="R900">
        <v>192.61</v>
      </c>
    </row>
    <row r="901" spans="1:18" x14ac:dyDescent="0.3">
      <c r="A901" t="s">
        <v>1863</v>
      </c>
      <c r="B901" t="s">
        <v>1864</v>
      </c>
      <c r="C901" t="s">
        <v>41</v>
      </c>
      <c r="D901" t="s">
        <v>109</v>
      </c>
      <c r="E901" s="4">
        <v>42312</v>
      </c>
      <c r="F901" t="s">
        <v>69</v>
      </c>
      <c r="G901" t="s">
        <v>49</v>
      </c>
      <c r="H901" t="s">
        <v>50</v>
      </c>
      <c r="I901" t="s">
        <v>35</v>
      </c>
      <c r="J901">
        <v>1</v>
      </c>
      <c r="K901">
        <v>101</v>
      </c>
      <c r="L901">
        <v>2664.56</v>
      </c>
      <c r="M901">
        <v>34448</v>
      </c>
      <c r="N901" t="s">
        <v>26</v>
      </c>
      <c r="O901" t="s">
        <v>56</v>
      </c>
      <c r="P901" t="s">
        <v>38</v>
      </c>
      <c r="Q901">
        <v>4</v>
      </c>
      <c r="R901">
        <v>196.73</v>
      </c>
    </row>
    <row r="902" spans="1:18" x14ac:dyDescent="0.3">
      <c r="A902" t="s">
        <v>1865</v>
      </c>
      <c r="B902" t="s">
        <v>1866</v>
      </c>
      <c r="C902" t="s">
        <v>116</v>
      </c>
      <c r="D902" t="s">
        <v>42</v>
      </c>
      <c r="E902" s="4">
        <v>40509</v>
      </c>
      <c r="F902" t="s">
        <v>69</v>
      </c>
      <c r="G902" t="s">
        <v>102</v>
      </c>
      <c r="H902" t="s">
        <v>50</v>
      </c>
      <c r="I902" t="s">
        <v>51</v>
      </c>
      <c r="J902">
        <v>7</v>
      </c>
      <c r="K902">
        <v>1314</v>
      </c>
      <c r="L902">
        <v>2359.7800000000002</v>
      </c>
      <c r="M902">
        <v>41931</v>
      </c>
      <c r="N902" t="s">
        <v>26</v>
      </c>
      <c r="O902" t="s">
        <v>56</v>
      </c>
      <c r="P902" t="s">
        <v>25</v>
      </c>
      <c r="Q902">
        <v>45</v>
      </c>
      <c r="R902">
        <v>17.41</v>
      </c>
    </row>
    <row r="903" spans="1:18" x14ac:dyDescent="0.3">
      <c r="A903" t="s">
        <v>1867</v>
      </c>
      <c r="B903" t="s">
        <v>1868</v>
      </c>
      <c r="C903" t="s">
        <v>20</v>
      </c>
      <c r="D903" t="s">
        <v>21</v>
      </c>
      <c r="E903" s="4">
        <v>43054</v>
      </c>
      <c r="F903" t="s">
        <v>69</v>
      </c>
      <c r="G903" t="s">
        <v>33</v>
      </c>
      <c r="H903" t="s">
        <v>75</v>
      </c>
      <c r="I903" t="s">
        <v>35</v>
      </c>
      <c r="J903">
        <v>0</v>
      </c>
      <c r="K903">
        <v>359</v>
      </c>
      <c r="L903">
        <v>3022.78</v>
      </c>
      <c r="M903">
        <v>22632</v>
      </c>
      <c r="N903" t="s">
        <v>36</v>
      </c>
      <c r="O903" t="s">
        <v>62</v>
      </c>
      <c r="P903" t="s">
        <v>52</v>
      </c>
      <c r="Q903">
        <v>22</v>
      </c>
      <c r="R903">
        <v>186.77</v>
      </c>
    </row>
    <row r="904" spans="1:18" x14ac:dyDescent="0.3">
      <c r="A904" t="s">
        <v>1869</v>
      </c>
      <c r="B904" t="s">
        <v>1870</v>
      </c>
      <c r="C904" t="s">
        <v>31</v>
      </c>
      <c r="D904" t="s">
        <v>109</v>
      </c>
      <c r="E904" s="4">
        <v>43312</v>
      </c>
      <c r="F904" t="s">
        <v>69</v>
      </c>
      <c r="G904" t="s">
        <v>102</v>
      </c>
      <c r="H904" t="s">
        <v>75</v>
      </c>
      <c r="I904" t="s">
        <v>35</v>
      </c>
      <c r="J904">
        <v>4</v>
      </c>
      <c r="K904">
        <v>109</v>
      </c>
      <c r="L904">
        <v>2836.71</v>
      </c>
      <c r="M904">
        <v>7559</v>
      </c>
      <c r="N904" t="s">
        <v>61</v>
      </c>
      <c r="O904" t="s">
        <v>27</v>
      </c>
      <c r="P904" t="s">
        <v>52</v>
      </c>
      <c r="Q904">
        <v>16</v>
      </c>
      <c r="R904">
        <v>13.99</v>
      </c>
    </row>
    <row r="905" spans="1:18" x14ac:dyDescent="0.3">
      <c r="A905" t="s">
        <v>1871</v>
      </c>
      <c r="B905" t="s">
        <v>1872</v>
      </c>
      <c r="C905" t="s">
        <v>97</v>
      </c>
      <c r="D905" t="s">
        <v>32</v>
      </c>
      <c r="E905" s="4">
        <v>40972</v>
      </c>
      <c r="F905" t="s">
        <v>65</v>
      </c>
      <c r="G905" t="s">
        <v>49</v>
      </c>
      <c r="H905" t="s">
        <v>75</v>
      </c>
      <c r="I905" t="s">
        <v>51</v>
      </c>
      <c r="J905">
        <v>2</v>
      </c>
      <c r="K905">
        <v>181</v>
      </c>
      <c r="L905">
        <v>1418.72</v>
      </c>
      <c r="M905">
        <v>49384</v>
      </c>
      <c r="N905" t="s">
        <v>26</v>
      </c>
      <c r="O905" t="s">
        <v>56</v>
      </c>
      <c r="P905" t="s">
        <v>45</v>
      </c>
      <c r="Q905">
        <v>40</v>
      </c>
      <c r="R905">
        <v>169.65</v>
      </c>
    </row>
    <row r="906" spans="1:18" x14ac:dyDescent="0.3">
      <c r="A906" t="s">
        <v>1873</v>
      </c>
      <c r="B906" t="s">
        <v>1874</v>
      </c>
      <c r="C906" t="s">
        <v>97</v>
      </c>
      <c r="D906" t="s">
        <v>32</v>
      </c>
      <c r="E906" s="4">
        <v>43726</v>
      </c>
      <c r="F906" t="s">
        <v>48</v>
      </c>
      <c r="G906" t="s">
        <v>33</v>
      </c>
      <c r="H906" t="s">
        <v>75</v>
      </c>
      <c r="I906" t="s">
        <v>25</v>
      </c>
      <c r="J906">
        <v>6</v>
      </c>
      <c r="K906">
        <v>1021</v>
      </c>
      <c r="L906">
        <v>348.89</v>
      </c>
      <c r="M906">
        <v>47675</v>
      </c>
      <c r="N906" t="s">
        <v>26</v>
      </c>
      <c r="O906" t="s">
        <v>27</v>
      </c>
      <c r="P906" t="s">
        <v>51</v>
      </c>
      <c r="Q906">
        <v>1</v>
      </c>
      <c r="R906">
        <v>71.040000000000006</v>
      </c>
    </row>
    <row r="907" spans="1:18" x14ac:dyDescent="0.3">
      <c r="A907" t="s">
        <v>1875</v>
      </c>
      <c r="B907" t="s">
        <v>1876</v>
      </c>
      <c r="C907" t="s">
        <v>20</v>
      </c>
      <c r="D907" t="s">
        <v>82</v>
      </c>
      <c r="E907" s="4">
        <v>44257</v>
      </c>
      <c r="F907" t="s">
        <v>60</v>
      </c>
      <c r="G907" t="s">
        <v>44</v>
      </c>
      <c r="H907" t="s">
        <v>50</v>
      </c>
      <c r="I907" t="s">
        <v>51</v>
      </c>
      <c r="J907">
        <v>8</v>
      </c>
      <c r="K907">
        <v>487</v>
      </c>
      <c r="L907">
        <v>3195.06</v>
      </c>
      <c r="M907">
        <v>15088</v>
      </c>
      <c r="N907" t="s">
        <v>26</v>
      </c>
      <c r="O907" t="s">
        <v>37</v>
      </c>
      <c r="P907" t="s">
        <v>52</v>
      </c>
      <c r="Q907">
        <v>17</v>
      </c>
      <c r="R907">
        <v>4.66</v>
      </c>
    </row>
    <row r="908" spans="1:18" x14ac:dyDescent="0.3">
      <c r="A908" t="s">
        <v>1877</v>
      </c>
      <c r="B908" t="s">
        <v>1878</v>
      </c>
      <c r="C908" t="s">
        <v>97</v>
      </c>
      <c r="D908" t="s">
        <v>42</v>
      </c>
      <c r="E908" s="4">
        <v>41713</v>
      </c>
      <c r="F908" t="s">
        <v>69</v>
      </c>
      <c r="G908" t="s">
        <v>23</v>
      </c>
      <c r="H908" t="s">
        <v>55</v>
      </c>
      <c r="I908" t="s">
        <v>92</v>
      </c>
      <c r="J908">
        <v>5</v>
      </c>
      <c r="K908">
        <v>1008</v>
      </c>
      <c r="L908">
        <v>2513.81</v>
      </c>
      <c r="M908">
        <v>20586</v>
      </c>
      <c r="N908" t="s">
        <v>61</v>
      </c>
      <c r="O908" t="s">
        <v>37</v>
      </c>
      <c r="P908" t="s">
        <v>45</v>
      </c>
      <c r="Q908">
        <v>11</v>
      </c>
      <c r="R908">
        <v>38.1</v>
      </c>
    </row>
    <row r="909" spans="1:18" x14ac:dyDescent="0.3">
      <c r="A909" t="s">
        <v>1879</v>
      </c>
      <c r="B909" t="s">
        <v>1880</v>
      </c>
      <c r="C909" t="s">
        <v>41</v>
      </c>
      <c r="D909" t="s">
        <v>59</v>
      </c>
      <c r="E909" s="4">
        <v>43630</v>
      </c>
      <c r="F909" t="s">
        <v>60</v>
      </c>
      <c r="G909" t="s">
        <v>23</v>
      </c>
      <c r="H909" t="s">
        <v>70</v>
      </c>
      <c r="I909" t="s">
        <v>51</v>
      </c>
      <c r="J909">
        <v>0</v>
      </c>
      <c r="K909">
        <v>1326</v>
      </c>
      <c r="L909">
        <v>4615.16</v>
      </c>
      <c r="M909">
        <v>27615</v>
      </c>
      <c r="N909" t="s">
        <v>61</v>
      </c>
      <c r="O909" t="s">
        <v>37</v>
      </c>
      <c r="P909" t="s">
        <v>45</v>
      </c>
      <c r="Q909">
        <v>37</v>
      </c>
      <c r="R909">
        <v>158.33000000000001</v>
      </c>
    </row>
    <row r="910" spans="1:18" x14ac:dyDescent="0.3">
      <c r="A910" t="s">
        <v>1881</v>
      </c>
      <c r="B910" t="s">
        <v>1882</v>
      </c>
      <c r="C910" t="s">
        <v>20</v>
      </c>
      <c r="D910" t="s">
        <v>32</v>
      </c>
      <c r="E910" s="4">
        <v>45233</v>
      </c>
      <c r="F910" t="s">
        <v>43</v>
      </c>
      <c r="G910" t="s">
        <v>83</v>
      </c>
      <c r="H910" t="s">
        <v>50</v>
      </c>
      <c r="I910" t="s">
        <v>35</v>
      </c>
      <c r="J910">
        <v>8</v>
      </c>
      <c r="K910">
        <v>612</v>
      </c>
      <c r="L910">
        <v>4900.05</v>
      </c>
      <c r="M910">
        <v>13820</v>
      </c>
      <c r="N910" t="s">
        <v>36</v>
      </c>
      <c r="O910" t="s">
        <v>27</v>
      </c>
      <c r="P910" t="s">
        <v>51</v>
      </c>
      <c r="Q910">
        <v>36</v>
      </c>
      <c r="R910">
        <v>166.22</v>
      </c>
    </row>
    <row r="911" spans="1:18" x14ac:dyDescent="0.3">
      <c r="A911" t="s">
        <v>1883</v>
      </c>
      <c r="B911" t="s">
        <v>1884</v>
      </c>
      <c r="C911" t="s">
        <v>41</v>
      </c>
      <c r="D911" t="s">
        <v>109</v>
      </c>
      <c r="E911" s="4">
        <v>41018</v>
      </c>
      <c r="F911" t="s">
        <v>43</v>
      </c>
      <c r="G911" t="s">
        <v>33</v>
      </c>
      <c r="H911" t="s">
        <v>50</v>
      </c>
      <c r="I911" t="s">
        <v>35</v>
      </c>
      <c r="J911">
        <v>8</v>
      </c>
      <c r="K911">
        <v>1016</v>
      </c>
      <c r="L911">
        <v>994.63</v>
      </c>
      <c r="M911">
        <v>20842</v>
      </c>
      <c r="N911" t="s">
        <v>61</v>
      </c>
      <c r="O911" t="s">
        <v>37</v>
      </c>
      <c r="P911" t="s">
        <v>51</v>
      </c>
      <c r="Q911">
        <v>37</v>
      </c>
      <c r="R911">
        <v>21.26</v>
      </c>
    </row>
    <row r="912" spans="1:18" x14ac:dyDescent="0.3">
      <c r="A912" t="s">
        <v>1885</v>
      </c>
      <c r="B912" t="s">
        <v>1886</v>
      </c>
      <c r="C912" t="s">
        <v>116</v>
      </c>
      <c r="D912" t="s">
        <v>42</v>
      </c>
      <c r="E912" s="4">
        <v>42816</v>
      </c>
      <c r="F912" t="s">
        <v>22</v>
      </c>
      <c r="G912" t="s">
        <v>83</v>
      </c>
      <c r="H912" t="s">
        <v>70</v>
      </c>
      <c r="I912" t="s">
        <v>76</v>
      </c>
      <c r="J912">
        <v>4</v>
      </c>
      <c r="K912">
        <v>1265</v>
      </c>
      <c r="L912">
        <v>1305.02</v>
      </c>
      <c r="M912">
        <v>48193</v>
      </c>
      <c r="N912" t="s">
        <v>26</v>
      </c>
      <c r="O912" t="s">
        <v>62</v>
      </c>
      <c r="P912" t="s">
        <v>45</v>
      </c>
      <c r="Q912">
        <v>3</v>
      </c>
      <c r="R912">
        <v>4.84</v>
      </c>
    </row>
    <row r="913" spans="1:18" x14ac:dyDescent="0.3">
      <c r="A913" t="s">
        <v>1887</v>
      </c>
      <c r="B913" t="s">
        <v>1888</v>
      </c>
      <c r="C913" t="s">
        <v>41</v>
      </c>
      <c r="D913" t="s">
        <v>109</v>
      </c>
      <c r="E913" s="4">
        <v>41710</v>
      </c>
      <c r="F913" t="s">
        <v>22</v>
      </c>
      <c r="G913" t="s">
        <v>23</v>
      </c>
      <c r="H913" t="s">
        <v>34</v>
      </c>
      <c r="I913" t="s">
        <v>92</v>
      </c>
      <c r="J913">
        <v>6</v>
      </c>
      <c r="K913">
        <v>1236</v>
      </c>
      <c r="L913">
        <v>4500.26</v>
      </c>
      <c r="M913">
        <v>42508</v>
      </c>
      <c r="N913" t="s">
        <v>61</v>
      </c>
      <c r="O913" t="s">
        <v>56</v>
      </c>
      <c r="P913" t="s">
        <v>38</v>
      </c>
      <c r="Q913">
        <v>7</v>
      </c>
      <c r="R913">
        <v>81.53</v>
      </c>
    </row>
    <row r="914" spans="1:18" x14ac:dyDescent="0.3">
      <c r="A914" t="s">
        <v>1889</v>
      </c>
      <c r="B914" t="s">
        <v>1890</v>
      </c>
      <c r="C914" t="s">
        <v>116</v>
      </c>
      <c r="D914" t="s">
        <v>59</v>
      </c>
      <c r="E914" s="4">
        <v>43775</v>
      </c>
      <c r="F914" t="s">
        <v>60</v>
      </c>
      <c r="G914" t="s">
        <v>102</v>
      </c>
      <c r="H914" t="s">
        <v>34</v>
      </c>
      <c r="I914" t="s">
        <v>25</v>
      </c>
      <c r="J914">
        <v>4</v>
      </c>
      <c r="K914">
        <v>623</v>
      </c>
      <c r="L914">
        <v>3047.3</v>
      </c>
      <c r="M914">
        <v>9632</v>
      </c>
      <c r="N914" t="s">
        <v>36</v>
      </c>
      <c r="O914" t="s">
        <v>27</v>
      </c>
      <c r="P914" t="s">
        <v>28</v>
      </c>
      <c r="Q914">
        <v>46</v>
      </c>
      <c r="R914">
        <v>244.91</v>
      </c>
    </row>
    <row r="915" spans="1:18" x14ac:dyDescent="0.3">
      <c r="A915" t="s">
        <v>1891</v>
      </c>
      <c r="B915" t="s">
        <v>1892</v>
      </c>
      <c r="C915" t="s">
        <v>41</v>
      </c>
      <c r="D915" t="s">
        <v>109</v>
      </c>
      <c r="E915" s="4">
        <v>43144</v>
      </c>
      <c r="F915" t="s">
        <v>65</v>
      </c>
      <c r="G915" t="s">
        <v>49</v>
      </c>
      <c r="H915" t="s">
        <v>24</v>
      </c>
      <c r="I915" t="s">
        <v>35</v>
      </c>
      <c r="J915">
        <v>2</v>
      </c>
      <c r="K915">
        <v>1392</v>
      </c>
      <c r="L915">
        <v>3858.6</v>
      </c>
      <c r="M915">
        <v>43343</v>
      </c>
      <c r="N915" t="s">
        <v>61</v>
      </c>
      <c r="O915" t="s">
        <v>37</v>
      </c>
      <c r="P915" t="s">
        <v>52</v>
      </c>
      <c r="Q915">
        <v>23</v>
      </c>
      <c r="R915">
        <v>77.55</v>
      </c>
    </row>
    <row r="916" spans="1:18" x14ac:dyDescent="0.3">
      <c r="A916" t="s">
        <v>1893</v>
      </c>
      <c r="B916" t="s">
        <v>1894</v>
      </c>
      <c r="C916" t="s">
        <v>41</v>
      </c>
      <c r="D916" t="s">
        <v>32</v>
      </c>
      <c r="E916" s="4">
        <v>45350</v>
      </c>
      <c r="F916" t="s">
        <v>43</v>
      </c>
      <c r="G916" t="s">
        <v>33</v>
      </c>
      <c r="H916" t="s">
        <v>24</v>
      </c>
      <c r="I916" t="s">
        <v>34</v>
      </c>
      <c r="J916">
        <v>6</v>
      </c>
      <c r="K916">
        <v>1419</v>
      </c>
      <c r="L916">
        <v>1253.54</v>
      </c>
      <c r="M916">
        <v>12250</v>
      </c>
      <c r="N916" t="s">
        <v>61</v>
      </c>
      <c r="O916" t="s">
        <v>56</v>
      </c>
      <c r="P916" t="s">
        <v>45</v>
      </c>
      <c r="Q916">
        <v>22</v>
      </c>
      <c r="R916">
        <v>165.23</v>
      </c>
    </row>
    <row r="917" spans="1:18" x14ac:dyDescent="0.3">
      <c r="A917" t="s">
        <v>1895</v>
      </c>
      <c r="B917" t="s">
        <v>1896</v>
      </c>
      <c r="C917" t="s">
        <v>31</v>
      </c>
      <c r="D917" t="s">
        <v>82</v>
      </c>
      <c r="E917" s="4">
        <v>40826</v>
      </c>
      <c r="F917" t="s">
        <v>48</v>
      </c>
      <c r="G917" t="s">
        <v>83</v>
      </c>
      <c r="H917" t="s">
        <v>24</v>
      </c>
      <c r="I917" t="s">
        <v>25</v>
      </c>
      <c r="J917">
        <v>6</v>
      </c>
      <c r="K917">
        <v>349</v>
      </c>
      <c r="L917">
        <v>1573.58</v>
      </c>
      <c r="M917">
        <v>29262</v>
      </c>
      <c r="N917" t="s">
        <v>36</v>
      </c>
      <c r="O917" t="s">
        <v>27</v>
      </c>
      <c r="P917" t="s">
        <v>38</v>
      </c>
      <c r="Q917">
        <v>7</v>
      </c>
      <c r="R917">
        <v>171.27</v>
      </c>
    </row>
    <row r="918" spans="1:18" x14ac:dyDescent="0.3">
      <c r="A918" t="s">
        <v>1897</v>
      </c>
      <c r="B918" t="s">
        <v>1898</v>
      </c>
      <c r="C918" t="s">
        <v>97</v>
      </c>
      <c r="D918" t="s">
        <v>32</v>
      </c>
      <c r="E918" s="4">
        <v>41719</v>
      </c>
      <c r="F918" t="s">
        <v>48</v>
      </c>
      <c r="G918" t="s">
        <v>102</v>
      </c>
      <c r="H918" t="s">
        <v>50</v>
      </c>
      <c r="I918" t="s">
        <v>51</v>
      </c>
      <c r="J918">
        <v>3</v>
      </c>
      <c r="K918">
        <v>948</v>
      </c>
      <c r="L918">
        <v>4582.29</v>
      </c>
      <c r="M918">
        <v>34872</v>
      </c>
      <c r="N918" t="s">
        <v>36</v>
      </c>
      <c r="O918" t="s">
        <v>62</v>
      </c>
      <c r="P918" t="s">
        <v>52</v>
      </c>
      <c r="Q918">
        <v>38</v>
      </c>
      <c r="R918">
        <v>102.59</v>
      </c>
    </row>
    <row r="919" spans="1:18" x14ac:dyDescent="0.3">
      <c r="A919" t="s">
        <v>1899</v>
      </c>
      <c r="B919" t="s">
        <v>1900</v>
      </c>
      <c r="C919" t="s">
        <v>79</v>
      </c>
      <c r="D919" t="s">
        <v>32</v>
      </c>
      <c r="E919" s="4">
        <v>42831</v>
      </c>
      <c r="F919" t="s">
        <v>69</v>
      </c>
      <c r="G919" t="s">
        <v>44</v>
      </c>
      <c r="H919" t="s">
        <v>55</v>
      </c>
      <c r="I919" t="s">
        <v>51</v>
      </c>
      <c r="J919">
        <v>3</v>
      </c>
      <c r="K919">
        <v>344</v>
      </c>
      <c r="L919">
        <v>1234.1099999999999</v>
      </c>
      <c r="M919">
        <v>13872</v>
      </c>
      <c r="N919" t="s">
        <v>61</v>
      </c>
      <c r="O919" t="s">
        <v>56</v>
      </c>
      <c r="P919" t="s">
        <v>45</v>
      </c>
      <c r="Q919">
        <v>23</v>
      </c>
      <c r="R919">
        <v>183.8</v>
      </c>
    </row>
    <row r="920" spans="1:18" x14ac:dyDescent="0.3">
      <c r="A920" t="s">
        <v>1901</v>
      </c>
      <c r="B920" t="s">
        <v>1902</v>
      </c>
      <c r="C920" t="s">
        <v>79</v>
      </c>
      <c r="D920" t="s">
        <v>82</v>
      </c>
      <c r="E920" s="4">
        <v>41725</v>
      </c>
      <c r="F920" t="s">
        <v>43</v>
      </c>
      <c r="G920" t="s">
        <v>102</v>
      </c>
      <c r="H920" t="s">
        <v>55</v>
      </c>
      <c r="I920" t="s">
        <v>35</v>
      </c>
      <c r="J920">
        <v>2</v>
      </c>
      <c r="K920">
        <v>49</v>
      </c>
      <c r="L920">
        <v>3708.31</v>
      </c>
      <c r="M920">
        <v>9214</v>
      </c>
      <c r="N920" t="s">
        <v>61</v>
      </c>
      <c r="O920" t="s">
        <v>37</v>
      </c>
      <c r="P920" t="s">
        <v>25</v>
      </c>
      <c r="Q920">
        <v>22</v>
      </c>
      <c r="R920">
        <v>225.28</v>
      </c>
    </row>
    <row r="921" spans="1:18" x14ac:dyDescent="0.3">
      <c r="A921" t="s">
        <v>1903</v>
      </c>
      <c r="B921" t="s">
        <v>1904</v>
      </c>
      <c r="C921" t="s">
        <v>20</v>
      </c>
      <c r="D921" t="s">
        <v>21</v>
      </c>
      <c r="E921" s="4">
        <v>41737</v>
      </c>
      <c r="F921" t="s">
        <v>22</v>
      </c>
      <c r="G921" t="s">
        <v>83</v>
      </c>
      <c r="H921" t="s">
        <v>50</v>
      </c>
      <c r="I921" t="s">
        <v>34</v>
      </c>
      <c r="J921">
        <v>7</v>
      </c>
      <c r="K921">
        <v>142</v>
      </c>
      <c r="L921">
        <v>627.15</v>
      </c>
      <c r="M921">
        <v>41003</v>
      </c>
      <c r="N921" t="s">
        <v>26</v>
      </c>
      <c r="O921" t="s">
        <v>27</v>
      </c>
      <c r="P921" t="s">
        <v>38</v>
      </c>
      <c r="Q921">
        <v>9</v>
      </c>
      <c r="R921">
        <v>165.92</v>
      </c>
    </row>
    <row r="922" spans="1:18" x14ac:dyDescent="0.3">
      <c r="A922" t="s">
        <v>1905</v>
      </c>
      <c r="B922" t="s">
        <v>1906</v>
      </c>
      <c r="C922" t="s">
        <v>97</v>
      </c>
      <c r="D922" t="s">
        <v>32</v>
      </c>
      <c r="E922" s="4">
        <v>45161</v>
      </c>
      <c r="F922" t="s">
        <v>43</v>
      </c>
      <c r="G922" t="s">
        <v>102</v>
      </c>
      <c r="H922" t="s">
        <v>50</v>
      </c>
      <c r="I922" t="s">
        <v>92</v>
      </c>
      <c r="J922">
        <v>8</v>
      </c>
      <c r="K922">
        <v>455</v>
      </c>
      <c r="L922">
        <v>769.31</v>
      </c>
      <c r="M922">
        <v>17254</v>
      </c>
      <c r="N922" t="s">
        <v>26</v>
      </c>
      <c r="O922" t="s">
        <v>62</v>
      </c>
      <c r="P922" t="s">
        <v>52</v>
      </c>
      <c r="Q922">
        <v>3</v>
      </c>
      <c r="R922">
        <v>201.73</v>
      </c>
    </row>
    <row r="923" spans="1:18" x14ac:dyDescent="0.3">
      <c r="A923" t="s">
        <v>1907</v>
      </c>
      <c r="B923" t="s">
        <v>1908</v>
      </c>
      <c r="C923" t="s">
        <v>68</v>
      </c>
      <c r="D923" t="s">
        <v>42</v>
      </c>
      <c r="E923" s="4">
        <v>45030</v>
      </c>
      <c r="F923" t="s">
        <v>43</v>
      </c>
      <c r="G923" t="s">
        <v>49</v>
      </c>
      <c r="H923" t="s">
        <v>24</v>
      </c>
      <c r="I923" t="s">
        <v>92</v>
      </c>
      <c r="J923">
        <v>0</v>
      </c>
      <c r="K923">
        <v>367</v>
      </c>
      <c r="L923">
        <v>1272.02</v>
      </c>
      <c r="M923">
        <v>44010</v>
      </c>
      <c r="N923" t="s">
        <v>26</v>
      </c>
      <c r="O923" t="s">
        <v>56</v>
      </c>
      <c r="P923" t="s">
        <v>25</v>
      </c>
      <c r="Q923">
        <v>4</v>
      </c>
      <c r="R923">
        <v>77.959999999999994</v>
      </c>
    </row>
    <row r="924" spans="1:18" x14ac:dyDescent="0.3">
      <c r="A924" t="s">
        <v>1909</v>
      </c>
      <c r="B924" t="s">
        <v>1910</v>
      </c>
      <c r="C924" t="s">
        <v>97</v>
      </c>
      <c r="D924" t="s">
        <v>82</v>
      </c>
      <c r="E924" s="4">
        <v>45008</v>
      </c>
      <c r="F924" t="s">
        <v>69</v>
      </c>
      <c r="G924" t="s">
        <v>23</v>
      </c>
      <c r="H924" t="s">
        <v>75</v>
      </c>
      <c r="I924" t="s">
        <v>35</v>
      </c>
      <c r="J924">
        <v>6</v>
      </c>
      <c r="K924">
        <v>1374</v>
      </c>
      <c r="L924">
        <v>4245.12</v>
      </c>
      <c r="M924">
        <v>36135</v>
      </c>
      <c r="N924" t="s">
        <v>36</v>
      </c>
      <c r="O924" t="s">
        <v>56</v>
      </c>
      <c r="P924" t="s">
        <v>45</v>
      </c>
      <c r="Q924">
        <v>33</v>
      </c>
      <c r="R924">
        <v>1.3</v>
      </c>
    </row>
    <row r="925" spans="1:18" x14ac:dyDescent="0.3">
      <c r="A925" t="s">
        <v>1911</v>
      </c>
      <c r="B925" t="s">
        <v>1912</v>
      </c>
      <c r="C925" t="s">
        <v>79</v>
      </c>
      <c r="D925" t="s">
        <v>59</v>
      </c>
      <c r="E925" s="4">
        <v>44318</v>
      </c>
      <c r="F925" t="s">
        <v>60</v>
      </c>
      <c r="G925" t="s">
        <v>44</v>
      </c>
      <c r="H925" t="s">
        <v>50</v>
      </c>
      <c r="I925" t="s">
        <v>51</v>
      </c>
      <c r="J925">
        <v>6</v>
      </c>
      <c r="K925">
        <v>391</v>
      </c>
      <c r="L925">
        <v>322.26</v>
      </c>
      <c r="M925">
        <v>17588</v>
      </c>
      <c r="N925" t="s">
        <v>26</v>
      </c>
      <c r="O925" t="s">
        <v>37</v>
      </c>
      <c r="P925" t="s">
        <v>25</v>
      </c>
      <c r="Q925">
        <v>17</v>
      </c>
      <c r="R925">
        <v>97.31</v>
      </c>
    </row>
    <row r="926" spans="1:18" x14ac:dyDescent="0.3">
      <c r="A926" t="s">
        <v>1913</v>
      </c>
      <c r="B926" t="s">
        <v>1914</v>
      </c>
      <c r="C926" t="s">
        <v>116</v>
      </c>
      <c r="D926" t="s">
        <v>42</v>
      </c>
      <c r="E926" s="4">
        <v>45740</v>
      </c>
      <c r="F926" t="s">
        <v>60</v>
      </c>
      <c r="G926" t="s">
        <v>83</v>
      </c>
      <c r="H926" t="s">
        <v>34</v>
      </c>
      <c r="I926" t="s">
        <v>25</v>
      </c>
      <c r="J926">
        <v>7</v>
      </c>
      <c r="K926">
        <v>308</v>
      </c>
      <c r="L926">
        <v>3408.85</v>
      </c>
      <c r="M926">
        <v>29153</v>
      </c>
      <c r="N926" t="s">
        <v>61</v>
      </c>
      <c r="O926" t="s">
        <v>37</v>
      </c>
      <c r="P926" t="s">
        <v>28</v>
      </c>
      <c r="Q926">
        <v>40</v>
      </c>
      <c r="R926">
        <v>140.63999999999999</v>
      </c>
    </row>
    <row r="927" spans="1:18" x14ac:dyDescent="0.3">
      <c r="A927" t="s">
        <v>1915</v>
      </c>
      <c r="B927" t="s">
        <v>1916</v>
      </c>
      <c r="C927" t="s">
        <v>31</v>
      </c>
      <c r="D927" t="s">
        <v>21</v>
      </c>
      <c r="E927" s="4">
        <v>40690</v>
      </c>
      <c r="F927" t="s">
        <v>69</v>
      </c>
      <c r="G927" t="s">
        <v>49</v>
      </c>
      <c r="H927" t="s">
        <v>70</v>
      </c>
      <c r="I927" t="s">
        <v>76</v>
      </c>
      <c r="J927">
        <v>3</v>
      </c>
      <c r="K927">
        <v>786</v>
      </c>
      <c r="L927">
        <v>2816.7</v>
      </c>
      <c r="M927">
        <v>16966</v>
      </c>
      <c r="N927" t="s">
        <v>26</v>
      </c>
      <c r="O927" t="s">
        <v>56</v>
      </c>
      <c r="P927" t="s">
        <v>28</v>
      </c>
      <c r="Q927">
        <v>14</v>
      </c>
      <c r="R927">
        <v>90.75</v>
      </c>
    </row>
    <row r="928" spans="1:18" x14ac:dyDescent="0.3">
      <c r="A928" t="s">
        <v>1917</v>
      </c>
      <c r="B928" t="s">
        <v>1918</v>
      </c>
      <c r="C928" t="s">
        <v>41</v>
      </c>
      <c r="D928" t="s">
        <v>32</v>
      </c>
      <c r="E928" s="4">
        <v>45719</v>
      </c>
      <c r="F928" t="s">
        <v>48</v>
      </c>
      <c r="G928" t="s">
        <v>33</v>
      </c>
      <c r="H928" t="s">
        <v>55</v>
      </c>
      <c r="I928" t="s">
        <v>34</v>
      </c>
      <c r="J928">
        <v>2</v>
      </c>
      <c r="K928">
        <v>903</v>
      </c>
      <c r="L928">
        <v>3465.34</v>
      </c>
      <c r="M928">
        <v>42740</v>
      </c>
      <c r="N928" t="s">
        <v>26</v>
      </c>
      <c r="O928" t="s">
        <v>62</v>
      </c>
      <c r="P928" t="s">
        <v>25</v>
      </c>
      <c r="Q928">
        <v>36</v>
      </c>
      <c r="R928">
        <v>95.93</v>
      </c>
    </row>
    <row r="929" spans="1:18" x14ac:dyDescent="0.3">
      <c r="A929" t="s">
        <v>1919</v>
      </c>
      <c r="B929" t="s">
        <v>1920</v>
      </c>
      <c r="C929" t="s">
        <v>31</v>
      </c>
      <c r="D929" t="s">
        <v>82</v>
      </c>
      <c r="E929" s="4">
        <v>42007</v>
      </c>
      <c r="F929" t="s">
        <v>69</v>
      </c>
      <c r="G929" t="s">
        <v>49</v>
      </c>
      <c r="H929" t="s">
        <v>55</v>
      </c>
      <c r="I929" t="s">
        <v>34</v>
      </c>
      <c r="J929">
        <v>8</v>
      </c>
      <c r="K929">
        <v>1478</v>
      </c>
      <c r="L929">
        <v>1517.62</v>
      </c>
      <c r="M929">
        <v>43661</v>
      </c>
      <c r="N929" t="s">
        <v>26</v>
      </c>
      <c r="O929" t="s">
        <v>37</v>
      </c>
      <c r="P929" t="s">
        <v>45</v>
      </c>
      <c r="Q929">
        <v>28</v>
      </c>
      <c r="R929">
        <v>88.34</v>
      </c>
    </row>
    <row r="930" spans="1:18" x14ac:dyDescent="0.3">
      <c r="A930" t="s">
        <v>1921</v>
      </c>
      <c r="B930" t="s">
        <v>1922</v>
      </c>
      <c r="C930" t="s">
        <v>79</v>
      </c>
      <c r="D930" t="s">
        <v>32</v>
      </c>
      <c r="E930" s="4">
        <v>43840</v>
      </c>
      <c r="F930" t="s">
        <v>48</v>
      </c>
      <c r="G930" t="s">
        <v>33</v>
      </c>
      <c r="H930" t="s">
        <v>75</v>
      </c>
      <c r="I930" t="s">
        <v>92</v>
      </c>
      <c r="J930">
        <v>7</v>
      </c>
      <c r="K930">
        <v>1481</v>
      </c>
      <c r="L930">
        <v>3647.32</v>
      </c>
      <c r="M930">
        <v>28460</v>
      </c>
      <c r="N930" t="s">
        <v>61</v>
      </c>
      <c r="O930" t="s">
        <v>37</v>
      </c>
      <c r="P930" t="s">
        <v>25</v>
      </c>
      <c r="Q930">
        <v>29</v>
      </c>
      <c r="R930">
        <v>121.43</v>
      </c>
    </row>
    <row r="931" spans="1:18" x14ac:dyDescent="0.3">
      <c r="A931" t="s">
        <v>1923</v>
      </c>
      <c r="B931" t="s">
        <v>1924</v>
      </c>
      <c r="C931" t="s">
        <v>31</v>
      </c>
      <c r="D931" t="s">
        <v>21</v>
      </c>
      <c r="E931" s="4">
        <v>41675</v>
      </c>
      <c r="F931" t="s">
        <v>69</v>
      </c>
      <c r="G931" t="s">
        <v>83</v>
      </c>
      <c r="H931" t="s">
        <v>24</v>
      </c>
      <c r="I931" t="s">
        <v>76</v>
      </c>
      <c r="J931">
        <v>4</v>
      </c>
      <c r="K931">
        <v>91</v>
      </c>
      <c r="L931">
        <v>598.26</v>
      </c>
      <c r="M931">
        <v>1273</v>
      </c>
      <c r="N931" t="s">
        <v>61</v>
      </c>
      <c r="O931" t="s">
        <v>62</v>
      </c>
      <c r="P931" t="s">
        <v>52</v>
      </c>
      <c r="Q931">
        <v>6</v>
      </c>
      <c r="R931">
        <v>74.92</v>
      </c>
    </row>
    <row r="932" spans="1:18" x14ac:dyDescent="0.3">
      <c r="A932" t="s">
        <v>1925</v>
      </c>
      <c r="B932" t="s">
        <v>1926</v>
      </c>
      <c r="C932" t="s">
        <v>79</v>
      </c>
      <c r="D932" t="s">
        <v>32</v>
      </c>
      <c r="E932" s="4">
        <v>41323</v>
      </c>
      <c r="F932" t="s">
        <v>48</v>
      </c>
      <c r="G932" t="s">
        <v>49</v>
      </c>
      <c r="H932" t="s">
        <v>24</v>
      </c>
      <c r="I932" t="s">
        <v>76</v>
      </c>
      <c r="J932">
        <v>2</v>
      </c>
      <c r="K932">
        <v>288</v>
      </c>
      <c r="L932">
        <v>4103.0200000000004</v>
      </c>
      <c r="M932">
        <v>13849</v>
      </c>
      <c r="N932" t="s">
        <v>36</v>
      </c>
      <c r="O932" t="s">
        <v>62</v>
      </c>
      <c r="P932" t="s">
        <v>25</v>
      </c>
      <c r="Q932">
        <v>6</v>
      </c>
      <c r="R932">
        <v>229.8</v>
      </c>
    </row>
    <row r="933" spans="1:18" x14ac:dyDescent="0.3">
      <c r="A933" t="s">
        <v>1927</v>
      </c>
      <c r="B933" t="s">
        <v>1928</v>
      </c>
      <c r="C933" t="s">
        <v>68</v>
      </c>
      <c r="D933" t="s">
        <v>109</v>
      </c>
      <c r="E933" s="4">
        <v>42986</v>
      </c>
      <c r="F933" t="s">
        <v>48</v>
      </c>
      <c r="G933" t="s">
        <v>33</v>
      </c>
      <c r="H933" t="s">
        <v>24</v>
      </c>
      <c r="I933" t="s">
        <v>34</v>
      </c>
      <c r="J933">
        <v>1</v>
      </c>
      <c r="K933">
        <v>518</v>
      </c>
      <c r="L933">
        <v>4029.84</v>
      </c>
      <c r="M933">
        <v>17400</v>
      </c>
      <c r="N933" t="s">
        <v>26</v>
      </c>
      <c r="O933" t="s">
        <v>37</v>
      </c>
      <c r="P933" t="s">
        <v>52</v>
      </c>
      <c r="Q933">
        <v>25</v>
      </c>
      <c r="R933">
        <v>241.43</v>
      </c>
    </row>
    <row r="934" spans="1:18" x14ac:dyDescent="0.3">
      <c r="A934" t="s">
        <v>1929</v>
      </c>
      <c r="B934" t="s">
        <v>1930</v>
      </c>
      <c r="C934" t="s">
        <v>79</v>
      </c>
      <c r="D934" t="s">
        <v>59</v>
      </c>
      <c r="E934" s="4">
        <v>44966</v>
      </c>
      <c r="F934" t="s">
        <v>48</v>
      </c>
      <c r="G934" t="s">
        <v>23</v>
      </c>
      <c r="H934" t="s">
        <v>55</v>
      </c>
      <c r="I934" t="s">
        <v>76</v>
      </c>
      <c r="J934">
        <v>8</v>
      </c>
      <c r="K934">
        <v>579</v>
      </c>
      <c r="L934">
        <v>714.75</v>
      </c>
      <c r="M934">
        <v>3520</v>
      </c>
      <c r="N934" t="s">
        <v>26</v>
      </c>
      <c r="O934" t="s">
        <v>62</v>
      </c>
      <c r="P934" t="s">
        <v>51</v>
      </c>
      <c r="Q934">
        <v>44</v>
      </c>
      <c r="R934">
        <v>173.42</v>
      </c>
    </row>
    <row r="935" spans="1:18" x14ac:dyDescent="0.3">
      <c r="A935" t="s">
        <v>1931</v>
      </c>
      <c r="B935" t="s">
        <v>1932</v>
      </c>
      <c r="C935" t="s">
        <v>97</v>
      </c>
      <c r="D935" t="s">
        <v>32</v>
      </c>
      <c r="E935" s="4">
        <v>41118</v>
      </c>
      <c r="F935" t="s">
        <v>22</v>
      </c>
      <c r="G935" t="s">
        <v>23</v>
      </c>
      <c r="H935" t="s">
        <v>50</v>
      </c>
      <c r="I935" t="s">
        <v>51</v>
      </c>
      <c r="J935">
        <v>7</v>
      </c>
      <c r="K935">
        <v>1328</v>
      </c>
      <c r="L935">
        <v>3714.39</v>
      </c>
      <c r="M935">
        <v>39580</v>
      </c>
      <c r="N935" t="s">
        <v>26</v>
      </c>
      <c r="O935" t="s">
        <v>62</v>
      </c>
      <c r="P935" t="s">
        <v>38</v>
      </c>
      <c r="Q935">
        <v>28</v>
      </c>
      <c r="R935">
        <v>32.14</v>
      </c>
    </row>
    <row r="936" spans="1:18" x14ac:dyDescent="0.3">
      <c r="A936" t="s">
        <v>1933</v>
      </c>
      <c r="B936" t="s">
        <v>1934</v>
      </c>
      <c r="C936" t="s">
        <v>20</v>
      </c>
      <c r="D936" t="s">
        <v>82</v>
      </c>
      <c r="E936" s="4">
        <v>45966</v>
      </c>
      <c r="F936" t="s">
        <v>60</v>
      </c>
      <c r="G936" t="s">
        <v>44</v>
      </c>
      <c r="H936" t="s">
        <v>55</v>
      </c>
      <c r="I936" t="s">
        <v>35</v>
      </c>
      <c r="J936">
        <v>3</v>
      </c>
      <c r="K936">
        <v>1312</v>
      </c>
      <c r="L936">
        <v>639.02</v>
      </c>
      <c r="M936">
        <v>38722</v>
      </c>
      <c r="N936" t="s">
        <v>26</v>
      </c>
      <c r="O936" t="s">
        <v>27</v>
      </c>
      <c r="P936" t="s">
        <v>28</v>
      </c>
      <c r="Q936">
        <v>30</v>
      </c>
      <c r="R936">
        <v>145.6</v>
      </c>
    </row>
    <row r="937" spans="1:18" x14ac:dyDescent="0.3">
      <c r="A937" t="s">
        <v>1935</v>
      </c>
      <c r="B937" t="s">
        <v>1936</v>
      </c>
      <c r="C937" t="s">
        <v>31</v>
      </c>
      <c r="D937" t="s">
        <v>32</v>
      </c>
      <c r="E937" s="4">
        <v>43852</v>
      </c>
      <c r="F937" t="s">
        <v>65</v>
      </c>
      <c r="G937" t="s">
        <v>23</v>
      </c>
      <c r="H937" t="s">
        <v>55</v>
      </c>
      <c r="I937" t="s">
        <v>25</v>
      </c>
      <c r="J937">
        <v>4</v>
      </c>
      <c r="K937">
        <v>332</v>
      </c>
      <c r="L937">
        <v>1095.78</v>
      </c>
      <c r="M937">
        <v>7954</v>
      </c>
      <c r="N937" t="s">
        <v>61</v>
      </c>
      <c r="O937" t="s">
        <v>56</v>
      </c>
      <c r="P937" t="s">
        <v>25</v>
      </c>
      <c r="Q937">
        <v>23</v>
      </c>
      <c r="R937">
        <v>151.25</v>
      </c>
    </row>
    <row r="938" spans="1:18" x14ac:dyDescent="0.3">
      <c r="A938" t="s">
        <v>1937</v>
      </c>
      <c r="B938" t="s">
        <v>1938</v>
      </c>
      <c r="C938" t="s">
        <v>79</v>
      </c>
      <c r="D938" t="s">
        <v>42</v>
      </c>
      <c r="E938" s="4">
        <v>40773</v>
      </c>
      <c r="F938" t="s">
        <v>43</v>
      </c>
      <c r="G938" t="s">
        <v>23</v>
      </c>
      <c r="H938" t="s">
        <v>50</v>
      </c>
      <c r="I938" t="s">
        <v>51</v>
      </c>
      <c r="J938">
        <v>6</v>
      </c>
      <c r="K938">
        <v>1192</v>
      </c>
      <c r="L938">
        <v>133.4</v>
      </c>
      <c r="M938">
        <v>27509</v>
      </c>
      <c r="N938" t="s">
        <v>26</v>
      </c>
      <c r="O938" t="s">
        <v>27</v>
      </c>
      <c r="P938" t="s">
        <v>52</v>
      </c>
      <c r="Q938">
        <v>49</v>
      </c>
      <c r="R938">
        <v>93.01</v>
      </c>
    </row>
    <row r="939" spans="1:18" x14ac:dyDescent="0.3">
      <c r="A939" t="s">
        <v>1939</v>
      </c>
      <c r="B939" t="s">
        <v>1940</v>
      </c>
      <c r="C939" t="s">
        <v>68</v>
      </c>
      <c r="D939" t="s">
        <v>32</v>
      </c>
      <c r="E939" s="4">
        <v>45210</v>
      </c>
      <c r="F939" t="s">
        <v>60</v>
      </c>
      <c r="G939" t="s">
        <v>83</v>
      </c>
      <c r="H939" t="s">
        <v>75</v>
      </c>
      <c r="I939" t="s">
        <v>34</v>
      </c>
      <c r="J939">
        <v>1</v>
      </c>
      <c r="K939">
        <v>1409</v>
      </c>
      <c r="L939">
        <v>1020.04</v>
      </c>
      <c r="M939">
        <v>43008</v>
      </c>
      <c r="N939" t="s">
        <v>61</v>
      </c>
      <c r="O939" t="s">
        <v>56</v>
      </c>
      <c r="P939" t="s">
        <v>25</v>
      </c>
      <c r="Q939">
        <v>32</v>
      </c>
      <c r="R939">
        <v>199.66</v>
      </c>
    </row>
    <row r="940" spans="1:18" x14ac:dyDescent="0.3">
      <c r="A940" t="s">
        <v>1941</v>
      </c>
      <c r="B940" t="s">
        <v>1942</v>
      </c>
      <c r="C940" t="s">
        <v>79</v>
      </c>
      <c r="D940" t="s">
        <v>59</v>
      </c>
      <c r="E940" s="4">
        <v>45554</v>
      </c>
      <c r="F940" t="s">
        <v>60</v>
      </c>
      <c r="G940" t="s">
        <v>49</v>
      </c>
      <c r="H940" t="s">
        <v>34</v>
      </c>
      <c r="I940" t="s">
        <v>34</v>
      </c>
      <c r="J940">
        <v>0</v>
      </c>
      <c r="K940">
        <v>487</v>
      </c>
      <c r="L940">
        <v>3881.46</v>
      </c>
      <c r="M940">
        <v>13598</v>
      </c>
      <c r="N940" t="s">
        <v>61</v>
      </c>
      <c r="O940" t="s">
        <v>37</v>
      </c>
      <c r="P940" t="s">
        <v>38</v>
      </c>
      <c r="Q940">
        <v>42</v>
      </c>
      <c r="R940">
        <v>145.26</v>
      </c>
    </row>
    <row r="941" spans="1:18" x14ac:dyDescent="0.3">
      <c r="A941" t="s">
        <v>1943</v>
      </c>
      <c r="B941" t="s">
        <v>1944</v>
      </c>
      <c r="C941" t="s">
        <v>116</v>
      </c>
      <c r="D941" t="s">
        <v>82</v>
      </c>
      <c r="E941" s="4">
        <v>40831</v>
      </c>
      <c r="F941" t="s">
        <v>69</v>
      </c>
      <c r="G941" t="s">
        <v>33</v>
      </c>
      <c r="H941" t="s">
        <v>70</v>
      </c>
      <c r="I941" t="s">
        <v>92</v>
      </c>
      <c r="J941">
        <v>2</v>
      </c>
      <c r="K941">
        <v>1267</v>
      </c>
      <c r="L941">
        <v>4905.95</v>
      </c>
      <c r="M941">
        <v>4774</v>
      </c>
      <c r="N941" t="s">
        <v>26</v>
      </c>
      <c r="O941" t="s">
        <v>37</v>
      </c>
      <c r="P941" t="s">
        <v>45</v>
      </c>
      <c r="Q941">
        <v>35</v>
      </c>
      <c r="R941">
        <v>249.71</v>
      </c>
    </row>
    <row r="942" spans="1:18" x14ac:dyDescent="0.3">
      <c r="A942" t="s">
        <v>1945</v>
      </c>
      <c r="B942" t="s">
        <v>1946</v>
      </c>
      <c r="C942" t="s">
        <v>31</v>
      </c>
      <c r="D942" t="s">
        <v>59</v>
      </c>
      <c r="E942" s="4">
        <v>45041</v>
      </c>
      <c r="F942" t="s">
        <v>22</v>
      </c>
      <c r="G942" t="s">
        <v>23</v>
      </c>
      <c r="H942" t="s">
        <v>75</v>
      </c>
      <c r="I942" t="s">
        <v>92</v>
      </c>
      <c r="J942">
        <v>7</v>
      </c>
      <c r="K942">
        <v>773</v>
      </c>
      <c r="L942">
        <v>950.34</v>
      </c>
      <c r="M942">
        <v>10927</v>
      </c>
      <c r="N942" t="s">
        <v>61</v>
      </c>
      <c r="O942" t="s">
        <v>62</v>
      </c>
      <c r="P942" t="s">
        <v>28</v>
      </c>
      <c r="Q942">
        <v>41</v>
      </c>
      <c r="R942">
        <v>156.13</v>
      </c>
    </row>
    <row r="943" spans="1:18" x14ac:dyDescent="0.3">
      <c r="A943" t="s">
        <v>1947</v>
      </c>
      <c r="B943" t="s">
        <v>1948</v>
      </c>
      <c r="C943" t="s">
        <v>41</v>
      </c>
      <c r="D943" t="s">
        <v>59</v>
      </c>
      <c r="E943" s="4">
        <v>44268</v>
      </c>
      <c r="F943" t="s">
        <v>48</v>
      </c>
      <c r="G943" t="s">
        <v>44</v>
      </c>
      <c r="H943" t="s">
        <v>50</v>
      </c>
      <c r="I943" t="s">
        <v>35</v>
      </c>
      <c r="J943">
        <v>5</v>
      </c>
      <c r="K943">
        <v>549</v>
      </c>
      <c r="L943">
        <v>494.78</v>
      </c>
      <c r="M943">
        <v>37951</v>
      </c>
      <c r="N943" t="s">
        <v>36</v>
      </c>
      <c r="O943" t="s">
        <v>27</v>
      </c>
      <c r="P943" t="s">
        <v>52</v>
      </c>
      <c r="Q943">
        <v>16</v>
      </c>
      <c r="R943">
        <v>197.27</v>
      </c>
    </row>
    <row r="944" spans="1:18" x14ac:dyDescent="0.3">
      <c r="A944" t="s">
        <v>1949</v>
      </c>
      <c r="B944" t="s">
        <v>1950</v>
      </c>
      <c r="C944" t="s">
        <v>116</v>
      </c>
      <c r="D944" t="s">
        <v>59</v>
      </c>
      <c r="E944" s="4">
        <v>43016</v>
      </c>
      <c r="F944" t="s">
        <v>65</v>
      </c>
      <c r="G944" t="s">
        <v>102</v>
      </c>
      <c r="H944" t="s">
        <v>75</v>
      </c>
      <c r="I944" t="s">
        <v>35</v>
      </c>
      <c r="J944">
        <v>7</v>
      </c>
      <c r="K944">
        <v>1246</v>
      </c>
      <c r="L944">
        <v>2108.84</v>
      </c>
      <c r="M944">
        <v>31271</v>
      </c>
      <c r="N944" t="s">
        <v>61</v>
      </c>
      <c r="O944" t="s">
        <v>37</v>
      </c>
      <c r="P944" t="s">
        <v>51</v>
      </c>
      <c r="Q944">
        <v>24</v>
      </c>
      <c r="R944">
        <v>138.6</v>
      </c>
    </row>
    <row r="945" spans="1:18" x14ac:dyDescent="0.3">
      <c r="A945" t="s">
        <v>1951</v>
      </c>
      <c r="B945" t="s">
        <v>1952</v>
      </c>
      <c r="C945" t="s">
        <v>31</v>
      </c>
      <c r="D945" t="s">
        <v>82</v>
      </c>
      <c r="E945" s="4">
        <v>41688</v>
      </c>
      <c r="F945" t="s">
        <v>69</v>
      </c>
      <c r="G945" t="s">
        <v>102</v>
      </c>
      <c r="H945" t="s">
        <v>24</v>
      </c>
      <c r="I945" t="s">
        <v>35</v>
      </c>
      <c r="J945">
        <v>0</v>
      </c>
      <c r="K945">
        <v>966</v>
      </c>
      <c r="L945">
        <v>414.68</v>
      </c>
      <c r="M945">
        <v>12301</v>
      </c>
      <c r="N945" t="s">
        <v>26</v>
      </c>
      <c r="O945" t="s">
        <v>37</v>
      </c>
      <c r="P945" t="s">
        <v>28</v>
      </c>
      <c r="Q945">
        <v>45</v>
      </c>
      <c r="R945">
        <v>231.5</v>
      </c>
    </row>
    <row r="946" spans="1:18" x14ac:dyDescent="0.3">
      <c r="A946" t="s">
        <v>1953</v>
      </c>
      <c r="B946" t="s">
        <v>1954</v>
      </c>
      <c r="C946" t="s">
        <v>20</v>
      </c>
      <c r="D946" t="s">
        <v>32</v>
      </c>
      <c r="E946" s="4">
        <v>46174</v>
      </c>
      <c r="F946" t="s">
        <v>22</v>
      </c>
      <c r="G946" t="s">
        <v>33</v>
      </c>
      <c r="H946" t="s">
        <v>24</v>
      </c>
      <c r="I946" t="s">
        <v>25</v>
      </c>
      <c r="J946">
        <v>6</v>
      </c>
      <c r="K946">
        <v>33</v>
      </c>
      <c r="L946">
        <v>3637.22</v>
      </c>
      <c r="M946">
        <v>46223</v>
      </c>
      <c r="N946" t="s">
        <v>61</v>
      </c>
      <c r="O946" t="s">
        <v>27</v>
      </c>
      <c r="P946" t="s">
        <v>28</v>
      </c>
      <c r="Q946">
        <v>20</v>
      </c>
      <c r="R946">
        <v>24.61</v>
      </c>
    </row>
    <row r="947" spans="1:18" x14ac:dyDescent="0.3">
      <c r="A947" t="s">
        <v>1955</v>
      </c>
      <c r="B947" t="s">
        <v>1956</v>
      </c>
      <c r="C947" t="s">
        <v>68</v>
      </c>
      <c r="D947" t="s">
        <v>32</v>
      </c>
      <c r="E947" s="4">
        <v>41532</v>
      </c>
      <c r="F947" t="s">
        <v>22</v>
      </c>
      <c r="G947" t="s">
        <v>83</v>
      </c>
      <c r="H947" t="s">
        <v>34</v>
      </c>
      <c r="I947" t="s">
        <v>76</v>
      </c>
      <c r="J947">
        <v>5</v>
      </c>
      <c r="K947">
        <v>1102</v>
      </c>
      <c r="L947">
        <v>2279.0100000000002</v>
      </c>
      <c r="M947">
        <v>46259</v>
      </c>
      <c r="N947" t="s">
        <v>36</v>
      </c>
      <c r="O947" t="s">
        <v>37</v>
      </c>
      <c r="P947" t="s">
        <v>51</v>
      </c>
      <c r="Q947">
        <v>34</v>
      </c>
      <c r="R947">
        <v>86</v>
      </c>
    </row>
    <row r="948" spans="1:18" x14ac:dyDescent="0.3">
      <c r="A948" t="s">
        <v>1957</v>
      </c>
      <c r="B948" t="s">
        <v>1958</v>
      </c>
      <c r="C948" t="s">
        <v>97</v>
      </c>
      <c r="D948" t="s">
        <v>82</v>
      </c>
      <c r="E948" s="4">
        <v>41307</v>
      </c>
      <c r="F948" t="s">
        <v>22</v>
      </c>
      <c r="G948" t="s">
        <v>83</v>
      </c>
      <c r="H948" t="s">
        <v>55</v>
      </c>
      <c r="I948" t="s">
        <v>35</v>
      </c>
      <c r="J948">
        <v>3</v>
      </c>
      <c r="K948">
        <v>330</v>
      </c>
      <c r="L948">
        <v>173.82</v>
      </c>
      <c r="M948">
        <v>46525</v>
      </c>
      <c r="N948" t="s">
        <v>26</v>
      </c>
      <c r="O948" t="s">
        <v>27</v>
      </c>
      <c r="P948" t="s">
        <v>28</v>
      </c>
      <c r="Q948">
        <v>17</v>
      </c>
      <c r="R948">
        <v>136.69999999999999</v>
      </c>
    </row>
    <row r="949" spans="1:18" x14ac:dyDescent="0.3">
      <c r="A949" t="s">
        <v>1959</v>
      </c>
      <c r="B949" t="s">
        <v>1960</v>
      </c>
      <c r="C949" t="s">
        <v>68</v>
      </c>
      <c r="D949" t="s">
        <v>82</v>
      </c>
      <c r="E949" s="4">
        <v>44741</v>
      </c>
      <c r="F949" t="s">
        <v>69</v>
      </c>
      <c r="G949" t="s">
        <v>83</v>
      </c>
      <c r="H949" t="s">
        <v>24</v>
      </c>
      <c r="I949" t="s">
        <v>34</v>
      </c>
      <c r="J949">
        <v>1</v>
      </c>
      <c r="K949">
        <v>597</v>
      </c>
      <c r="L949">
        <v>4888</v>
      </c>
      <c r="M949">
        <v>40881</v>
      </c>
      <c r="N949" t="s">
        <v>61</v>
      </c>
      <c r="O949" t="s">
        <v>27</v>
      </c>
      <c r="P949" t="s">
        <v>28</v>
      </c>
      <c r="Q949">
        <v>50</v>
      </c>
      <c r="R949">
        <v>178.81</v>
      </c>
    </row>
    <row r="950" spans="1:18" x14ac:dyDescent="0.3">
      <c r="A950" t="s">
        <v>1961</v>
      </c>
      <c r="B950" t="s">
        <v>1962</v>
      </c>
      <c r="C950" t="s">
        <v>20</v>
      </c>
      <c r="D950" t="s">
        <v>109</v>
      </c>
      <c r="E950" s="4">
        <v>43118</v>
      </c>
      <c r="F950" t="s">
        <v>48</v>
      </c>
      <c r="G950" t="s">
        <v>23</v>
      </c>
      <c r="H950" t="s">
        <v>55</v>
      </c>
      <c r="I950" t="s">
        <v>51</v>
      </c>
      <c r="J950">
        <v>1</v>
      </c>
      <c r="K950">
        <v>838</v>
      </c>
      <c r="L950">
        <v>4735.38</v>
      </c>
      <c r="M950">
        <v>36195</v>
      </c>
      <c r="N950" t="s">
        <v>36</v>
      </c>
      <c r="O950" t="s">
        <v>37</v>
      </c>
      <c r="P950" t="s">
        <v>28</v>
      </c>
      <c r="Q950">
        <v>17</v>
      </c>
      <c r="R950">
        <v>159.58000000000001</v>
      </c>
    </row>
    <row r="951" spans="1:18" x14ac:dyDescent="0.3">
      <c r="A951" t="s">
        <v>1963</v>
      </c>
      <c r="B951" t="s">
        <v>1964</v>
      </c>
      <c r="C951" t="s">
        <v>97</v>
      </c>
      <c r="D951" t="s">
        <v>82</v>
      </c>
      <c r="E951" s="4">
        <v>45614</v>
      </c>
      <c r="F951" t="s">
        <v>48</v>
      </c>
      <c r="G951" t="s">
        <v>23</v>
      </c>
      <c r="H951" t="s">
        <v>70</v>
      </c>
      <c r="I951" t="s">
        <v>25</v>
      </c>
      <c r="J951">
        <v>6</v>
      </c>
      <c r="K951">
        <v>283</v>
      </c>
      <c r="L951">
        <v>3572.75</v>
      </c>
      <c r="M951">
        <v>23434</v>
      </c>
      <c r="N951" t="s">
        <v>26</v>
      </c>
      <c r="O951" t="s">
        <v>27</v>
      </c>
      <c r="P951" t="s">
        <v>25</v>
      </c>
      <c r="Q951">
        <v>45</v>
      </c>
      <c r="R951">
        <v>94.77</v>
      </c>
    </row>
    <row r="952" spans="1:18" x14ac:dyDescent="0.3">
      <c r="A952" t="s">
        <v>1965</v>
      </c>
      <c r="B952" t="s">
        <v>1966</v>
      </c>
      <c r="C952" t="s">
        <v>41</v>
      </c>
      <c r="D952" t="s">
        <v>21</v>
      </c>
      <c r="E952" s="4">
        <v>41052</v>
      </c>
      <c r="F952" t="s">
        <v>22</v>
      </c>
      <c r="G952" t="s">
        <v>49</v>
      </c>
      <c r="H952" t="s">
        <v>75</v>
      </c>
      <c r="I952" t="s">
        <v>76</v>
      </c>
      <c r="J952">
        <v>3</v>
      </c>
      <c r="K952">
        <v>139</v>
      </c>
      <c r="L952">
        <v>2423.42</v>
      </c>
      <c r="M952">
        <v>47500</v>
      </c>
      <c r="N952" t="s">
        <v>26</v>
      </c>
      <c r="O952" t="s">
        <v>37</v>
      </c>
      <c r="P952" t="s">
        <v>52</v>
      </c>
      <c r="Q952">
        <v>11</v>
      </c>
      <c r="R952">
        <v>196.96</v>
      </c>
    </row>
    <row r="953" spans="1:18" x14ac:dyDescent="0.3">
      <c r="A953" t="s">
        <v>1967</v>
      </c>
      <c r="B953" t="s">
        <v>1968</v>
      </c>
      <c r="C953" t="s">
        <v>79</v>
      </c>
      <c r="D953" t="s">
        <v>82</v>
      </c>
      <c r="E953" s="4">
        <v>43903</v>
      </c>
      <c r="F953" t="s">
        <v>22</v>
      </c>
      <c r="G953" t="s">
        <v>33</v>
      </c>
      <c r="H953" t="s">
        <v>75</v>
      </c>
      <c r="I953" t="s">
        <v>25</v>
      </c>
      <c r="J953">
        <v>3</v>
      </c>
      <c r="K953">
        <v>1310</v>
      </c>
      <c r="L953">
        <v>4503.8500000000004</v>
      </c>
      <c r="M953">
        <v>32432</v>
      </c>
      <c r="N953" t="s">
        <v>61</v>
      </c>
      <c r="O953" t="s">
        <v>62</v>
      </c>
      <c r="P953" t="s">
        <v>51</v>
      </c>
      <c r="Q953">
        <v>23</v>
      </c>
      <c r="R953">
        <v>45.65</v>
      </c>
    </row>
    <row r="954" spans="1:18" x14ac:dyDescent="0.3">
      <c r="A954" t="s">
        <v>1969</v>
      </c>
      <c r="B954" t="s">
        <v>1970</v>
      </c>
      <c r="C954" t="s">
        <v>79</v>
      </c>
      <c r="D954" t="s">
        <v>32</v>
      </c>
      <c r="E954" s="4">
        <v>45417</v>
      </c>
      <c r="F954" t="s">
        <v>22</v>
      </c>
      <c r="G954" t="s">
        <v>83</v>
      </c>
      <c r="H954" t="s">
        <v>70</v>
      </c>
      <c r="I954" t="s">
        <v>92</v>
      </c>
      <c r="J954">
        <v>4</v>
      </c>
      <c r="K954">
        <v>394</v>
      </c>
      <c r="L954">
        <v>4345.33</v>
      </c>
      <c r="M954">
        <v>43864</v>
      </c>
      <c r="N954" t="s">
        <v>26</v>
      </c>
      <c r="O954" t="s">
        <v>62</v>
      </c>
      <c r="P954" t="s">
        <v>45</v>
      </c>
      <c r="Q954">
        <v>38</v>
      </c>
      <c r="R954">
        <v>66.209999999999994</v>
      </c>
    </row>
    <row r="955" spans="1:18" x14ac:dyDescent="0.3">
      <c r="A955" t="s">
        <v>1971</v>
      </c>
      <c r="B955" t="s">
        <v>1972</v>
      </c>
      <c r="C955" t="s">
        <v>68</v>
      </c>
      <c r="D955" t="s">
        <v>32</v>
      </c>
      <c r="E955" s="4">
        <v>41904</v>
      </c>
      <c r="F955" t="s">
        <v>69</v>
      </c>
      <c r="G955" t="s">
        <v>102</v>
      </c>
      <c r="H955" t="s">
        <v>34</v>
      </c>
      <c r="I955" t="s">
        <v>35</v>
      </c>
      <c r="J955">
        <v>6</v>
      </c>
      <c r="K955">
        <v>1193</v>
      </c>
      <c r="L955">
        <v>4449.34</v>
      </c>
      <c r="M955">
        <v>31509</v>
      </c>
      <c r="N955" t="s">
        <v>36</v>
      </c>
      <c r="O955" t="s">
        <v>62</v>
      </c>
      <c r="P955" t="s">
        <v>45</v>
      </c>
      <c r="Q955">
        <v>28</v>
      </c>
      <c r="R955">
        <v>123.53</v>
      </c>
    </row>
    <row r="956" spans="1:18" x14ac:dyDescent="0.3">
      <c r="A956" t="s">
        <v>1973</v>
      </c>
      <c r="B956" t="s">
        <v>1974</v>
      </c>
      <c r="C956" t="s">
        <v>20</v>
      </c>
      <c r="D956" t="s">
        <v>42</v>
      </c>
      <c r="E956" s="4">
        <v>44864</v>
      </c>
      <c r="F956" t="s">
        <v>22</v>
      </c>
      <c r="G956" t="s">
        <v>33</v>
      </c>
      <c r="H956" t="s">
        <v>24</v>
      </c>
      <c r="I956" t="s">
        <v>51</v>
      </c>
      <c r="J956">
        <v>6</v>
      </c>
      <c r="K956">
        <v>975</v>
      </c>
      <c r="L956">
        <v>4524.32</v>
      </c>
      <c r="M956">
        <v>24024</v>
      </c>
      <c r="N956" t="s">
        <v>61</v>
      </c>
      <c r="O956" t="s">
        <v>37</v>
      </c>
      <c r="P956" t="s">
        <v>38</v>
      </c>
      <c r="Q956">
        <v>25</v>
      </c>
      <c r="R956">
        <v>114.35</v>
      </c>
    </row>
    <row r="957" spans="1:18" x14ac:dyDescent="0.3">
      <c r="A957" t="s">
        <v>1975</v>
      </c>
      <c r="B957" t="s">
        <v>1976</v>
      </c>
      <c r="C957" t="s">
        <v>68</v>
      </c>
      <c r="D957" t="s">
        <v>21</v>
      </c>
      <c r="E957" s="4">
        <v>44978</v>
      </c>
      <c r="F957" t="s">
        <v>65</v>
      </c>
      <c r="G957" t="s">
        <v>102</v>
      </c>
      <c r="H957" t="s">
        <v>34</v>
      </c>
      <c r="I957" t="s">
        <v>76</v>
      </c>
      <c r="J957">
        <v>2</v>
      </c>
      <c r="K957">
        <v>694</v>
      </c>
      <c r="L957">
        <v>2281.9499999999998</v>
      </c>
      <c r="M957">
        <v>2521</v>
      </c>
      <c r="N957" t="s">
        <v>61</v>
      </c>
      <c r="O957" t="s">
        <v>56</v>
      </c>
      <c r="P957" t="s">
        <v>38</v>
      </c>
      <c r="Q957">
        <v>47</v>
      </c>
      <c r="R957">
        <v>101.44</v>
      </c>
    </row>
    <row r="958" spans="1:18" x14ac:dyDescent="0.3">
      <c r="A958" t="s">
        <v>1977</v>
      </c>
      <c r="B958" t="s">
        <v>1978</v>
      </c>
      <c r="C958" t="s">
        <v>79</v>
      </c>
      <c r="D958" t="s">
        <v>21</v>
      </c>
      <c r="E958" s="4">
        <v>43380</v>
      </c>
      <c r="F958" t="s">
        <v>43</v>
      </c>
      <c r="G958" t="s">
        <v>44</v>
      </c>
      <c r="H958" t="s">
        <v>24</v>
      </c>
      <c r="I958" t="s">
        <v>51</v>
      </c>
      <c r="J958">
        <v>7</v>
      </c>
      <c r="K958">
        <v>608</v>
      </c>
      <c r="L958">
        <v>4090.97</v>
      </c>
      <c r="M958">
        <v>33263</v>
      </c>
      <c r="N958" t="s">
        <v>26</v>
      </c>
      <c r="O958" t="s">
        <v>56</v>
      </c>
      <c r="P958" t="s">
        <v>25</v>
      </c>
      <c r="Q958">
        <v>41</v>
      </c>
      <c r="R958">
        <v>116.44</v>
      </c>
    </row>
    <row r="959" spans="1:18" x14ac:dyDescent="0.3">
      <c r="A959" t="s">
        <v>1979</v>
      </c>
      <c r="B959" t="s">
        <v>1980</v>
      </c>
      <c r="C959" t="s">
        <v>68</v>
      </c>
      <c r="D959" t="s">
        <v>21</v>
      </c>
      <c r="E959" s="4">
        <v>45331</v>
      </c>
      <c r="F959" t="s">
        <v>43</v>
      </c>
      <c r="G959" t="s">
        <v>44</v>
      </c>
      <c r="H959" t="s">
        <v>50</v>
      </c>
      <c r="I959" t="s">
        <v>35</v>
      </c>
      <c r="J959">
        <v>1</v>
      </c>
      <c r="K959">
        <v>213</v>
      </c>
      <c r="L959">
        <v>1662.89</v>
      </c>
      <c r="M959">
        <v>40999</v>
      </c>
      <c r="N959" t="s">
        <v>26</v>
      </c>
      <c r="O959" t="s">
        <v>27</v>
      </c>
      <c r="P959" t="s">
        <v>25</v>
      </c>
      <c r="Q959">
        <v>32</v>
      </c>
      <c r="R959">
        <v>106.85</v>
      </c>
    </row>
    <row r="960" spans="1:18" x14ac:dyDescent="0.3">
      <c r="A960" t="s">
        <v>1981</v>
      </c>
      <c r="B960" t="s">
        <v>1982</v>
      </c>
      <c r="C960" t="s">
        <v>20</v>
      </c>
      <c r="D960" t="s">
        <v>82</v>
      </c>
      <c r="E960" s="4">
        <v>42809</v>
      </c>
      <c r="F960" t="s">
        <v>48</v>
      </c>
      <c r="G960" t="s">
        <v>44</v>
      </c>
      <c r="H960" t="s">
        <v>50</v>
      </c>
      <c r="I960" t="s">
        <v>92</v>
      </c>
      <c r="J960">
        <v>6</v>
      </c>
      <c r="K960">
        <v>1189</v>
      </c>
      <c r="L960">
        <v>3388.55</v>
      </c>
      <c r="M960">
        <v>2400</v>
      </c>
      <c r="N960" t="s">
        <v>36</v>
      </c>
      <c r="O960" t="s">
        <v>37</v>
      </c>
      <c r="P960" t="s">
        <v>51</v>
      </c>
      <c r="Q960">
        <v>18</v>
      </c>
      <c r="R960">
        <v>44.79</v>
      </c>
    </row>
    <row r="961" spans="1:18" x14ac:dyDescent="0.3">
      <c r="A961" t="s">
        <v>1983</v>
      </c>
      <c r="B961" t="s">
        <v>1984</v>
      </c>
      <c r="C961" t="s">
        <v>116</v>
      </c>
      <c r="D961" t="s">
        <v>32</v>
      </c>
      <c r="E961" s="4">
        <v>46149</v>
      </c>
      <c r="F961" t="s">
        <v>69</v>
      </c>
      <c r="G961" t="s">
        <v>23</v>
      </c>
      <c r="H961" t="s">
        <v>75</v>
      </c>
      <c r="I961" t="s">
        <v>34</v>
      </c>
      <c r="J961">
        <v>4</v>
      </c>
      <c r="K961">
        <v>1398</v>
      </c>
      <c r="L961">
        <v>3747.52</v>
      </c>
      <c r="M961">
        <v>46048</v>
      </c>
      <c r="N961" t="s">
        <v>26</v>
      </c>
      <c r="O961" t="s">
        <v>56</v>
      </c>
      <c r="P961" t="s">
        <v>28</v>
      </c>
      <c r="Q961">
        <v>47</v>
      </c>
      <c r="R961">
        <v>39.979999999999997</v>
      </c>
    </row>
    <row r="962" spans="1:18" x14ac:dyDescent="0.3">
      <c r="A962" t="s">
        <v>1985</v>
      </c>
      <c r="B962" t="s">
        <v>1986</v>
      </c>
      <c r="C962" t="s">
        <v>79</v>
      </c>
      <c r="D962" t="s">
        <v>21</v>
      </c>
      <c r="E962" s="4">
        <v>41536</v>
      </c>
      <c r="F962" t="s">
        <v>60</v>
      </c>
      <c r="G962" t="s">
        <v>33</v>
      </c>
      <c r="H962" t="s">
        <v>50</v>
      </c>
      <c r="I962" t="s">
        <v>25</v>
      </c>
      <c r="J962">
        <v>2</v>
      </c>
      <c r="K962">
        <v>855</v>
      </c>
      <c r="L962">
        <v>2380.44</v>
      </c>
      <c r="M962">
        <v>3955</v>
      </c>
      <c r="N962" t="s">
        <v>61</v>
      </c>
      <c r="O962" t="s">
        <v>27</v>
      </c>
      <c r="P962" t="s">
        <v>38</v>
      </c>
      <c r="Q962">
        <v>18</v>
      </c>
      <c r="R962">
        <v>46.56</v>
      </c>
    </row>
    <row r="963" spans="1:18" x14ac:dyDescent="0.3">
      <c r="A963" t="s">
        <v>1987</v>
      </c>
      <c r="B963" t="s">
        <v>1988</v>
      </c>
      <c r="C963" t="s">
        <v>116</v>
      </c>
      <c r="D963" t="s">
        <v>82</v>
      </c>
      <c r="E963" s="4">
        <v>41003</v>
      </c>
      <c r="F963" t="s">
        <v>60</v>
      </c>
      <c r="G963" t="s">
        <v>49</v>
      </c>
      <c r="H963" t="s">
        <v>70</v>
      </c>
      <c r="I963" t="s">
        <v>34</v>
      </c>
      <c r="J963">
        <v>7</v>
      </c>
      <c r="K963">
        <v>715</v>
      </c>
      <c r="L963">
        <v>3512.05</v>
      </c>
      <c r="M963">
        <v>48333</v>
      </c>
      <c r="N963" t="s">
        <v>26</v>
      </c>
      <c r="O963" t="s">
        <v>37</v>
      </c>
      <c r="P963" t="s">
        <v>28</v>
      </c>
      <c r="Q963">
        <v>44</v>
      </c>
      <c r="R963">
        <v>161.57</v>
      </c>
    </row>
    <row r="964" spans="1:18" x14ac:dyDescent="0.3">
      <c r="A964" t="s">
        <v>1989</v>
      </c>
      <c r="B964" t="s">
        <v>1990</v>
      </c>
      <c r="C964" t="s">
        <v>116</v>
      </c>
      <c r="D964" t="s">
        <v>82</v>
      </c>
      <c r="E964" s="4">
        <v>40533</v>
      </c>
      <c r="F964" t="s">
        <v>43</v>
      </c>
      <c r="G964" t="s">
        <v>33</v>
      </c>
      <c r="H964" t="s">
        <v>24</v>
      </c>
      <c r="I964" t="s">
        <v>34</v>
      </c>
      <c r="J964">
        <v>8</v>
      </c>
      <c r="K964">
        <v>1213</v>
      </c>
      <c r="L964">
        <v>504.67</v>
      </c>
      <c r="M964">
        <v>32112</v>
      </c>
      <c r="N964" t="s">
        <v>36</v>
      </c>
      <c r="O964" t="s">
        <v>37</v>
      </c>
      <c r="P964" t="s">
        <v>45</v>
      </c>
      <c r="Q964">
        <v>33</v>
      </c>
      <c r="R964">
        <v>237.49</v>
      </c>
    </row>
    <row r="965" spans="1:18" x14ac:dyDescent="0.3">
      <c r="A965" t="s">
        <v>1991</v>
      </c>
      <c r="B965" t="s">
        <v>1992</v>
      </c>
      <c r="C965" t="s">
        <v>97</v>
      </c>
      <c r="D965" t="s">
        <v>32</v>
      </c>
      <c r="E965" s="4">
        <v>43414</v>
      </c>
      <c r="F965" t="s">
        <v>48</v>
      </c>
      <c r="G965" t="s">
        <v>102</v>
      </c>
      <c r="H965" t="s">
        <v>24</v>
      </c>
      <c r="I965" t="s">
        <v>51</v>
      </c>
      <c r="J965">
        <v>7</v>
      </c>
      <c r="K965">
        <v>1251</v>
      </c>
      <c r="L965">
        <v>2195.83</v>
      </c>
      <c r="M965">
        <v>33096</v>
      </c>
      <c r="N965" t="s">
        <v>61</v>
      </c>
      <c r="O965" t="s">
        <v>27</v>
      </c>
      <c r="P965" t="s">
        <v>52</v>
      </c>
      <c r="Q965">
        <v>11</v>
      </c>
      <c r="R965">
        <v>128.69999999999999</v>
      </c>
    </row>
    <row r="966" spans="1:18" x14ac:dyDescent="0.3">
      <c r="A966" t="s">
        <v>1993</v>
      </c>
      <c r="B966" t="s">
        <v>1994</v>
      </c>
      <c r="C966" t="s">
        <v>79</v>
      </c>
      <c r="D966" t="s">
        <v>21</v>
      </c>
      <c r="E966" s="4">
        <v>40471</v>
      </c>
      <c r="F966" t="s">
        <v>60</v>
      </c>
      <c r="G966" t="s">
        <v>33</v>
      </c>
      <c r="H966" t="s">
        <v>24</v>
      </c>
      <c r="I966" t="s">
        <v>76</v>
      </c>
      <c r="J966">
        <v>0</v>
      </c>
      <c r="K966">
        <v>1230</v>
      </c>
      <c r="L966">
        <v>389.66</v>
      </c>
      <c r="M966">
        <v>46064</v>
      </c>
      <c r="N966" t="s">
        <v>36</v>
      </c>
      <c r="O966" t="s">
        <v>56</v>
      </c>
      <c r="P966" t="s">
        <v>28</v>
      </c>
      <c r="Q966">
        <v>11</v>
      </c>
      <c r="R966">
        <v>202.38</v>
      </c>
    </row>
    <row r="967" spans="1:18" x14ac:dyDescent="0.3">
      <c r="A967" t="s">
        <v>1995</v>
      </c>
      <c r="B967" t="s">
        <v>1996</v>
      </c>
      <c r="C967" t="s">
        <v>97</v>
      </c>
      <c r="D967" t="s">
        <v>59</v>
      </c>
      <c r="E967" s="4">
        <v>44448</v>
      </c>
      <c r="F967" t="s">
        <v>43</v>
      </c>
      <c r="G967" t="s">
        <v>23</v>
      </c>
      <c r="H967" t="s">
        <v>75</v>
      </c>
      <c r="I967" t="s">
        <v>25</v>
      </c>
      <c r="J967">
        <v>7</v>
      </c>
      <c r="K967">
        <v>194</v>
      </c>
      <c r="L967">
        <v>4874.6899999999996</v>
      </c>
      <c r="M967">
        <v>48975</v>
      </c>
      <c r="N967" t="s">
        <v>26</v>
      </c>
      <c r="O967" t="s">
        <v>56</v>
      </c>
      <c r="P967" t="s">
        <v>28</v>
      </c>
      <c r="Q967">
        <v>43</v>
      </c>
      <c r="R967">
        <v>205.12</v>
      </c>
    </row>
    <row r="968" spans="1:18" x14ac:dyDescent="0.3">
      <c r="A968" t="s">
        <v>1997</v>
      </c>
      <c r="B968" t="s">
        <v>1998</v>
      </c>
      <c r="C968" t="s">
        <v>116</v>
      </c>
      <c r="D968" t="s">
        <v>32</v>
      </c>
      <c r="E968" s="4">
        <v>40971</v>
      </c>
      <c r="F968" t="s">
        <v>43</v>
      </c>
      <c r="G968" t="s">
        <v>102</v>
      </c>
      <c r="H968" t="s">
        <v>34</v>
      </c>
      <c r="I968" t="s">
        <v>35</v>
      </c>
      <c r="J968">
        <v>7</v>
      </c>
      <c r="K968">
        <v>56</v>
      </c>
      <c r="L968">
        <v>628.79</v>
      </c>
      <c r="M968">
        <v>28474</v>
      </c>
      <c r="N968" t="s">
        <v>36</v>
      </c>
      <c r="O968" t="s">
        <v>37</v>
      </c>
      <c r="P968" t="s">
        <v>52</v>
      </c>
      <c r="Q968">
        <v>46</v>
      </c>
      <c r="R968">
        <v>211.36</v>
      </c>
    </row>
    <row r="969" spans="1:18" x14ac:dyDescent="0.3">
      <c r="A969" t="s">
        <v>1999</v>
      </c>
      <c r="B969" t="s">
        <v>2000</v>
      </c>
      <c r="C969" t="s">
        <v>31</v>
      </c>
      <c r="D969" t="s">
        <v>21</v>
      </c>
      <c r="E969" s="4">
        <v>44983</v>
      </c>
      <c r="F969" t="s">
        <v>60</v>
      </c>
      <c r="G969" t="s">
        <v>102</v>
      </c>
      <c r="H969" t="s">
        <v>34</v>
      </c>
      <c r="I969" t="s">
        <v>76</v>
      </c>
      <c r="J969">
        <v>6</v>
      </c>
      <c r="K969">
        <v>1256</v>
      </c>
      <c r="L969">
        <v>3041.55</v>
      </c>
      <c r="M969">
        <v>41670</v>
      </c>
      <c r="N969" t="s">
        <v>61</v>
      </c>
      <c r="O969" t="s">
        <v>37</v>
      </c>
      <c r="P969" t="s">
        <v>52</v>
      </c>
      <c r="Q969">
        <v>37</v>
      </c>
      <c r="R969">
        <v>172.58</v>
      </c>
    </row>
    <row r="970" spans="1:18" x14ac:dyDescent="0.3">
      <c r="A970" t="s">
        <v>2001</v>
      </c>
      <c r="B970" t="s">
        <v>2002</v>
      </c>
      <c r="C970" t="s">
        <v>41</v>
      </c>
      <c r="D970" t="s">
        <v>32</v>
      </c>
      <c r="E970" s="4">
        <v>42050</v>
      </c>
      <c r="F970" t="s">
        <v>60</v>
      </c>
      <c r="G970" t="s">
        <v>33</v>
      </c>
      <c r="H970" t="s">
        <v>55</v>
      </c>
      <c r="I970" t="s">
        <v>51</v>
      </c>
      <c r="J970">
        <v>3</v>
      </c>
      <c r="K970">
        <v>1315</v>
      </c>
      <c r="L970">
        <v>4154.8100000000004</v>
      </c>
      <c r="M970">
        <v>2116</v>
      </c>
      <c r="N970" t="s">
        <v>26</v>
      </c>
      <c r="O970" t="s">
        <v>37</v>
      </c>
      <c r="P970" t="s">
        <v>25</v>
      </c>
      <c r="Q970">
        <v>14</v>
      </c>
      <c r="R970">
        <v>183.83</v>
      </c>
    </row>
    <row r="971" spans="1:18" x14ac:dyDescent="0.3">
      <c r="A971" t="s">
        <v>2003</v>
      </c>
      <c r="B971" t="s">
        <v>2004</v>
      </c>
      <c r="C971" t="s">
        <v>31</v>
      </c>
      <c r="D971" t="s">
        <v>109</v>
      </c>
      <c r="E971" s="4">
        <v>40622</v>
      </c>
      <c r="F971" t="s">
        <v>65</v>
      </c>
      <c r="G971" t="s">
        <v>44</v>
      </c>
      <c r="H971" t="s">
        <v>75</v>
      </c>
      <c r="I971" t="s">
        <v>25</v>
      </c>
      <c r="J971">
        <v>0</v>
      </c>
      <c r="K971">
        <v>211</v>
      </c>
      <c r="L971">
        <v>342.75</v>
      </c>
      <c r="M971">
        <v>42100</v>
      </c>
      <c r="N971" t="s">
        <v>36</v>
      </c>
      <c r="O971" t="s">
        <v>37</v>
      </c>
      <c r="P971" t="s">
        <v>38</v>
      </c>
      <c r="Q971">
        <v>19</v>
      </c>
      <c r="R971">
        <v>36.58</v>
      </c>
    </row>
    <row r="972" spans="1:18" x14ac:dyDescent="0.3">
      <c r="A972" t="s">
        <v>2005</v>
      </c>
      <c r="B972" t="s">
        <v>2006</v>
      </c>
      <c r="C972" t="s">
        <v>79</v>
      </c>
      <c r="D972" t="s">
        <v>82</v>
      </c>
      <c r="E972" s="4">
        <v>43028</v>
      </c>
      <c r="F972" t="s">
        <v>65</v>
      </c>
      <c r="G972" t="s">
        <v>49</v>
      </c>
      <c r="H972" t="s">
        <v>24</v>
      </c>
      <c r="I972" t="s">
        <v>51</v>
      </c>
      <c r="J972">
        <v>7</v>
      </c>
      <c r="K972">
        <v>851</v>
      </c>
      <c r="L972">
        <v>3459.79</v>
      </c>
      <c r="M972">
        <v>43385</v>
      </c>
      <c r="N972" t="s">
        <v>36</v>
      </c>
      <c r="O972" t="s">
        <v>56</v>
      </c>
      <c r="P972" t="s">
        <v>25</v>
      </c>
      <c r="Q972">
        <v>46</v>
      </c>
      <c r="R972">
        <v>11.5</v>
      </c>
    </row>
    <row r="973" spans="1:18" x14ac:dyDescent="0.3">
      <c r="A973" t="s">
        <v>2007</v>
      </c>
      <c r="B973" t="s">
        <v>2008</v>
      </c>
      <c r="C973" t="s">
        <v>20</v>
      </c>
      <c r="D973" t="s">
        <v>32</v>
      </c>
      <c r="E973" s="4">
        <v>42514</v>
      </c>
      <c r="F973" t="s">
        <v>65</v>
      </c>
      <c r="G973" t="s">
        <v>49</v>
      </c>
      <c r="H973" t="s">
        <v>70</v>
      </c>
      <c r="I973" t="s">
        <v>76</v>
      </c>
      <c r="J973">
        <v>3</v>
      </c>
      <c r="K973">
        <v>385</v>
      </c>
      <c r="L973">
        <v>4161.82</v>
      </c>
      <c r="M973">
        <v>2644</v>
      </c>
      <c r="N973" t="s">
        <v>36</v>
      </c>
      <c r="O973" t="s">
        <v>27</v>
      </c>
      <c r="P973" t="s">
        <v>28</v>
      </c>
      <c r="Q973">
        <v>36</v>
      </c>
      <c r="R973">
        <v>158.08000000000001</v>
      </c>
    </row>
    <row r="974" spans="1:18" x14ac:dyDescent="0.3">
      <c r="A974" t="s">
        <v>2009</v>
      </c>
      <c r="B974" t="s">
        <v>2010</v>
      </c>
      <c r="C974" t="s">
        <v>116</v>
      </c>
      <c r="D974" t="s">
        <v>21</v>
      </c>
      <c r="E974" s="4">
        <v>41271</v>
      </c>
      <c r="F974" t="s">
        <v>48</v>
      </c>
      <c r="G974" t="s">
        <v>44</v>
      </c>
      <c r="H974" t="s">
        <v>55</v>
      </c>
      <c r="I974" t="s">
        <v>51</v>
      </c>
      <c r="J974">
        <v>2</v>
      </c>
      <c r="K974">
        <v>1001</v>
      </c>
      <c r="L974">
        <v>3393.38</v>
      </c>
      <c r="M974">
        <v>11967</v>
      </c>
      <c r="N974" t="s">
        <v>61</v>
      </c>
      <c r="O974" t="s">
        <v>37</v>
      </c>
      <c r="P974" t="s">
        <v>51</v>
      </c>
      <c r="Q974">
        <v>38</v>
      </c>
      <c r="R974">
        <v>73.430000000000007</v>
      </c>
    </row>
    <row r="975" spans="1:18" x14ac:dyDescent="0.3">
      <c r="A975" t="s">
        <v>2011</v>
      </c>
      <c r="B975" t="s">
        <v>2012</v>
      </c>
      <c r="C975" t="s">
        <v>79</v>
      </c>
      <c r="D975" t="s">
        <v>109</v>
      </c>
      <c r="E975" s="4">
        <v>44712</v>
      </c>
      <c r="F975" t="s">
        <v>22</v>
      </c>
      <c r="G975" t="s">
        <v>83</v>
      </c>
      <c r="H975" t="s">
        <v>70</v>
      </c>
      <c r="I975" t="s">
        <v>51</v>
      </c>
      <c r="J975">
        <v>0</v>
      </c>
      <c r="K975">
        <v>627</v>
      </c>
      <c r="L975">
        <v>2744.8</v>
      </c>
      <c r="M975">
        <v>32252</v>
      </c>
      <c r="N975" t="s">
        <v>36</v>
      </c>
      <c r="O975" t="s">
        <v>27</v>
      </c>
      <c r="P975" t="s">
        <v>28</v>
      </c>
      <c r="Q975">
        <v>45</v>
      </c>
      <c r="R975">
        <v>82.94</v>
      </c>
    </row>
    <row r="976" spans="1:18" x14ac:dyDescent="0.3">
      <c r="A976" t="s">
        <v>2013</v>
      </c>
      <c r="B976" t="s">
        <v>2014</v>
      </c>
      <c r="C976" t="s">
        <v>79</v>
      </c>
      <c r="D976" t="s">
        <v>32</v>
      </c>
      <c r="E976" s="4">
        <v>45787</v>
      </c>
      <c r="F976" t="s">
        <v>69</v>
      </c>
      <c r="G976" t="s">
        <v>23</v>
      </c>
      <c r="H976" t="s">
        <v>75</v>
      </c>
      <c r="I976" t="s">
        <v>76</v>
      </c>
      <c r="J976">
        <v>3</v>
      </c>
      <c r="K976">
        <v>161</v>
      </c>
      <c r="L976">
        <v>2717.96</v>
      </c>
      <c r="M976">
        <v>33437</v>
      </c>
      <c r="N976" t="s">
        <v>36</v>
      </c>
      <c r="O976" t="s">
        <v>56</v>
      </c>
      <c r="P976" t="s">
        <v>52</v>
      </c>
      <c r="Q976">
        <v>15</v>
      </c>
      <c r="R976">
        <v>236.26</v>
      </c>
    </row>
    <row r="977" spans="1:18" x14ac:dyDescent="0.3">
      <c r="A977" t="s">
        <v>2015</v>
      </c>
      <c r="B977" t="s">
        <v>2016</v>
      </c>
      <c r="C977" t="s">
        <v>116</v>
      </c>
      <c r="D977" t="s">
        <v>21</v>
      </c>
      <c r="E977" s="4">
        <v>41559</v>
      </c>
      <c r="F977" t="s">
        <v>48</v>
      </c>
      <c r="G977" t="s">
        <v>102</v>
      </c>
      <c r="H977" t="s">
        <v>50</v>
      </c>
      <c r="I977" t="s">
        <v>34</v>
      </c>
      <c r="J977">
        <v>7</v>
      </c>
      <c r="K977">
        <v>93</v>
      </c>
      <c r="L977">
        <v>3568.33</v>
      </c>
      <c r="M977">
        <v>21051</v>
      </c>
      <c r="N977" t="s">
        <v>61</v>
      </c>
      <c r="O977" t="s">
        <v>37</v>
      </c>
      <c r="P977" t="s">
        <v>45</v>
      </c>
      <c r="Q977">
        <v>1</v>
      </c>
      <c r="R977">
        <v>22.18</v>
      </c>
    </row>
    <row r="978" spans="1:18" x14ac:dyDescent="0.3">
      <c r="A978" t="s">
        <v>2017</v>
      </c>
      <c r="B978" t="s">
        <v>2018</v>
      </c>
      <c r="C978" t="s">
        <v>97</v>
      </c>
      <c r="D978" t="s">
        <v>82</v>
      </c>
      <c r="E978" s="4">
        <v>45469</v>
      </c>
      <c r="F978" t="s">
        <v>43</v>
      </c>
      <c r="G978" t="s">
        <v>102</v>
      </c>
      <c r="H978" t="s">
        <v>70</v>
      </c>
      <c r="I978" t="s">
        <v>51</v>
      </c>
      <c r="J978">
        <v>7</v>
      </c>
      <c r="K978">
        <v>412</v>
      </c>
      <c r="L978">
        <v>481.2</v>
      </c>
      <c r="M978">
        <v>2810</v>
      </c>
      <c r="N978" t="s">
        <v>36</v>
      </c>
      <c r="O978" t="s">
        <v>62</v>
      </c>
      <c r="P978" t="s">
        <v>51</v>
      </c>
      <c r="Q978">
        <v>16</v>
      </c>
      <c r="R978">
        <v>65.05</v>
      </c>
    </row>
    <row r="979" spans="1:18" x14ac:dyDescent="0.3">
      <c r="A979" t="s">
        <v>2019</v>
      </c>
      <c r="B979" t="s">
        <v>2020</v>
      </c>
      <c r="C979" t="s">
        <v>41</v>
      </c>
      <c r="D979" t="s">
        <v>59</v>
      </c>
      <c r="E979" s="4">
        <v>42012</v>
      </c>
      <c r="F979" t="s">
        <v>69</v>
      </c>
      <c r="G979" t="s">
        <v>83</v>
      </c>
      <c r="H979" t="s">
        <v>70</v>
      </c>
      <c r="I979" t="s">
        <v>51</v>
      </c>
      <c r="J979">
        <v>6</v>
      </c>
      <c r="K979">
        <v>881</v>
      </c>
      <c r="L979">
        <v>1234.43</v>
      </c>
      <c r="M979">
        <v>35405</v>
      </c>
      <c r="N979" t="s">
        <v>36</v>
      </c>
      <c r="O979" t="s">
        <v>56</v>
      </c>
      <c r="P979" t="s">
        <v>52</v>
      </c>
      <c r="Q979">
        <v>48</v>
      </c>
      <c r="R979">
        <v>83.79</v>
      </c>
    </row>
    <row r="980" spans="1:18" x14ac:dyDescent="0.3">
      <c r="A980" t="s">
        <v>2021</v>
      </c>
      <c r="B980" t="s">
        <v>2022</v>
      </c>
      <c r="C980" t="s">
        <v>20</v>
      </c>
      <c r="D980" t="s">
        <v>109</v>
      </c>
      <c r="E980" s="4">
        <v>45550</v>
      </c>
      <c r="F980" t="s">
        <v>22</v>
      </c>
      <c r="G980" t="s">
        <v>23</v>
      </c>
      <c r="H980" t="s">
        <v>55</v>
      </c>
      <c r="I980" t="s">
        <v>76</v>
      </c>
      <c r="J980">
        <v>5</v>
      </c>
      <c r="K980">
        <v>919</v>
      </c>
      <c r="L980">
        <v>4699.08</v>
      </c>
      <c r="M980">
        <v>41843</v>
      </c>
      <c r="N980" t="s">
        <v>36</v>
      </c>
      <c r="O980" t="s">
        <v>62</v>
      </c>
      <c r="P980" t="s">
        <v>28</v>
      </c>
      <c r="Q980">
        <v>33</v>
      </c>
      <c r="R980">
        <v>16.73</v>
      </c>
    </row>
    <row r="981" spans="1:18" x14ac:dyDescent="0.3">
      <c r="A981" t="s">
        <v>2023</v>
      </c>
      <c r="B981" t="s">
        <v>2024</v>
      </c>
      <c r="C981" t="s">
        <v>31</v>
      </c>
      <c r="D981" t="s">
        <v>21</v>
      </c>
      <c r="E981" s="4">
        <v>42750</v>
      </c>
      <c r="F981" t="s">
        <v>69</v>
      </c>
      <c r="G981" t="s">
        <v>44</v>
      </c>
      <c r="H981" t="s">
        <v>50</v>
      </c>
      <c r="I981" t="s">
        <v>92</v>
      </c>
      <c r="J981">
        <v>6</v>
      </c>
      <c r="K981">
        <v>119</v>
      </c>
      <c r="L981">
        <v>2497.06</v>
      </c>
      <c r="M981">
        <v>8058</v>
      </c>
      <c r="N981" t="s">
        <v>36</v>
      </c>
      <c r="O981" t="s">
        <v>37</v>
      </c>
      <c r="P981" t="s">
        <v>51</v>
      </c>
      <c r="Q981">
        <v>37</v>
      </c>
      <c r="R981">
        <v>11.38</v>
      </c>
    </row>
    <row r="982" spans="1:18" x14ac:dyDescent="0.3">
      <c r="A982" t="s">
        <v>2025</v>
      </c>
      <c r="B982" t="s">
        <v>2026</v>
      </c>
      <c r="C982" t="s">
        <v>20</v>
      </c>
      <c r="D982" t="s">
        <v>109</v>
      </c>
      <c r="E982" s="4">
        <v>42197</v>
      </c>
      <c r="F982" t="s">
        <v>65</v>
      </c>
      <c r="G982" t="s">
        <v>23</v>
      </c>
      <c r="H982" t="s">
        <v>75</v>
      </c>
      <c r="I982" t="s">
        <v>76</v>
      </c>
      <c r="J982">
        <v>4</v>
      </c>
      <c r="K982">
        <v>1294</v>
      </c>
      <c r="L982">
        <v>2938.71</v>
      </c>
      <c r="M982">
        <v>36212</v>
      </c>
      <c r="N982" t="s">
        <v>26</v>
      </c>
      <c r="O982" t="s">
        <v>37</v>
      </c>
      <c r="P982" t="s">
        <v>45</v>
      </c>
      <c r="Q982">
        <v>48</v>
      </c>
      <c r="R982">
        <v>125.2</v>
      </c>
    </row>
    <row r="983" spans="1:18" x14ac:dyDescent="0.3">
      <c r="A983" t="s">
        <v>2027</v>
      </c>
      <c r="B983" t="s">
        <v>2028</v>
      </c>
      <c r="C983" t="s">
        <v>20</v>
      </c>
      <c r="D983" t="s">
        <v>82</v>
      </c>
      <c r="E983" s="4">
        <v>41873</v>
      </c>
      <c r="F983" t="s">
        <v>22</v>
      </c>
      <c r="G983" t="s">
        <v>23</v>
      </c>
      <c r="H983" t="s">
        <v>50</v>
      </c>
      <c r="I983" t="s">
        <v>51</v>
      </c>
      <c r="J983">
        <v>5</v>
      </c>
      <c r="K983">
        <v>82</v>
      </c>
      <c r="L983">
        <v>2366.5700000000002</v>
      </c>
      <c r="M983">
        <v>38669</v>
      </c>
      <c r="N983" t="s">
        <v>26</v>
      </c>
      <c r="O983" t="s">
        <v>62</v>
      </c>
      <c r="P983" t="s">
        <v>38</v>
      </c>
      <c r="Q983">
        <v>5</v>
      </c>
      <c r="R983">
        <v>202.24</v>
      </c>
    </row>
    <row r="984" spans="1:18" x14ac:dyDescent="0.3">
      <c r="A984" t="s">
        <v>2029</v>
      </c>
      <c r="B984" t="s">
        <v>2030</v>
      </c>
      <c r="C984" t="s">
        <v>79</v>
      </c>
      <c r="D984" t="s">
        <v>82</v>
      </c>
      <c r="E984" s="4">
        <v>43841</v>
      </c>
      <c r="F984" t="s">
        <v>22</v>
      </c>
      <c r="G984" t="s">
        <v>23</v>
      </c>
      <c r="H984" t="s">
        <v>55</v>
      </c>
      <c r="I984" t="s">
        <v>76</v>
      </c>
      <c r="J984">
        <v>2</v>
      </c>
      <c r="K984">
        <v>1388</v>
      </c>
      <c r="L984">
        <v>4900.03</v>
      </c>
      <c r="M984">
        <v>28230</v>
      </c>
      <c r="N984" t="s">
        <v>61</v>
      </c>
      <c r="O984" t="s">
        <v>56</v>
      </c>
      <c r="P984" t="s">
        <v>51</v>
      </c>
      <c r="Q984">
        <v>6</v>
      </c>
      <c r="R984">
        <v>224.22</v>
      </c>
    </row>
    <row r="985" spans="1:18" x14ac:dyDescent="0.3">
      <c r="A985" t="s">
        <v>2031</v>
      </c>
      <c r="B985" t="s">
        <v>2032</v>
      </c>
      <c r="C985" t="s">
        <v>20</v>
      </c>
      <c r="D985" t="s">
        <v>32</v>
      </c>
      <c r="E985" s="4">
        <v>44700</v>
      </c>
      <c r="F985" t="s">
        <v>22</v>
      </c>
      <c r="G985" t="s">
        <v>33</v>
      </c>
      <c r="H985" t="s">
        <v>50</v>
      </c>
      <c r="I985" t="s">
        <v>76</v>
      </c>
      <c r="J985">
        <v>5</v>
      </c>
      <c r="K985">
        <v>1133</v>
      </c>
      <c r="L985">
        <v>2270.16</v>
      </c>
      <c r="M985">
        <v>1734</v>
      </c>
      <c r="N985" t="s">
        <v>36</v>
      </c>
      <c r="O985" t="s">
        <v>37</v>
      </c>
      <c r="P985" t="s">
        <v>25</v>
      </c>
      <c r="Q985">
        <v>2</v>
      </c>
      <c r="R985">
        <v>93.05</v>
      </c>
    </row>
    <row r="986" spans="1:18" x14ac:dyDescent="0.3">
      <c r="A986" t="s">
        <v>2033</v>
      </c>
      <c r="B986" t="s">
        <v>2034</v>
      </c>
      <c r="C986" t="s">
        <v>41</v>
      </c>
      <c r="D986" t="s">
        <v>42</v>
      </c>
      <c r="E986" s="4">
        <v>43726</v>
      </c>
      <c r="F986" t="s">
        <v>60</v>
      </c>
      <c r="G986" t="s">
        <v>44</v>
      </c>
      <c r="H986" t="s">
        <v>55</v>
      </c>
      <c r="I986" t="s">
        <v>51</v>
      </c>
      <c r="J986">
        <v>6</v>
      </c>
      <c r="K986">
        <v>854</v>
      </c>
      <c r="L986">
        <v>4744.57</v>
      </c>
      <c r="M986">
        <v>44145</v>
      </c>
      <c r="N986" t="s">
        <v>61</v>
      </c>
      <c r="O986" t="s">
        <v>62</v>
      </c>
      <c r="P986" t="s">
        <v>51</v>
      </c>
      <c r="Q986">
        <v>16</v>
      </c>
      <c r="R986">
        <v>247.64</v>
      </c>
    </row>
    <row r="987" spans="1:18" x14ac:dyDescent="0.3">
      <c r="A987" t="s">
        <v>2035</v>
      </c>
      <c r="B987" t="s">
        <v>2036</v>
      </c>
      <c r="C987" t="s">
        <v>68</v>
      </c>
      <c r="D987" t="s">
        <v>21</v>
      </c>
      <c r="E987" s="4">
        <v>43666</v>
      </c>
      <c r="F987" t="s">
        <v>48</v>
      </c>
      <c r="G987" t="s">
        <v>33</v>
      </c>
      <c r="H987" t="s">
        <v>70</v>
      </c>
      <c r="I987" t="s">
        <v>34</v>
      </c>
      <c r="J987">
        <v>6</v>
      </c>
      <c r="K987">
        <v>1092</v>
      </c>
      <c r="L987">
        <v>1546.47</v>
      </c>
      <c r="M987">
        <v>34622</v>
      </c>
      <c r="N987" t="s">
        <v>61</v>
      </c>
      <c r="O987" t="s">
        <v>56</v>
      </c>
      <c r="P987" t="s">
        <v>28</v>
      </c>
      <c r="Q987">
        <v>15</v>
      </c>
      <c r="R987">
        <v>83.43</v>
      </c>
    </row>
    <row r="988" spans="1:18" x14ac:dyDescent="0.3">
      <c r="A988" t="s">
        <v>2037</v>
      </c>
      <c r="B988" t="s">
        <v>2038</v>
      </c>
      <c r="C988" t="s">
        <v>79</v>
      </c>
      <c r="D988" t="s">
        <v>59</v>
      </c>
      <c r="E988" s="4">
        <v>45651</v>
      </c>
      <c r="F988" t="s">
        <v>69</v>
      </c>
      <c r="G988" t="s">
        <v>44</v>
      </c>
      <c r="H988" t="s">
        <v>70</v>
      </c>
      <c r="I988" t="s">
        <v>34</v>
      </c>
      <c r="J988">
        <v>0</v>
      </c>
      <c r="K988">
        <v>237</v>
      </c>
      <c r="L988">
        <v>835.67</v>
      </c>
      <c r="M988">
        <v>10887</v>
      </c>
      <c r="N988" t="s">
        <v>26</v>
      </c>
      <c r="O988" t="s">
        <v>56</v>
      </c>
      <c r="P988" t="s">
        <v>51</v>
      </c>
      <c r="Q988">
        <v>23</v>
      </c>
      <c r="R988">
        <v>103.25</v>
      </c>
    </row>
    <row r="989" spans="1:18" x14ac:dyDescent="0.3">
      <c r="A989" t="s">
        <v>2039</v>
      </c>
      <c r="B989" t="s">
        <v>2040</v>
      </c>
      <c r="C989" t="s">
        <v>116</v>
      </c>
      <c r="D989" t="s">
        <v>42</v>
      </c>
      <c r="E989" s="4">
        <v>43315</v>
      </c>
      <c r="F989" t="s">
        <v>60</v>
      </c>
      <c r="G989" t="s">
        <v>49</v>
      </c>
      <c r="H989" t="s">
        <v>24</v>
      </c>
      <c r="I989" t="s">
        <v>76</v>
      </c>
      <c r="J989">
        <v>5</v>
      </c>
      <c r="K989">
        <v>195</v>
      </c>
      <c r="L989">
        <v>636.53</v>
      </c>
      <c r="M989">
        <v>9627</v>
      </c>
      <c r="N989" t="s">
        <v>26</v>
      </c>
      <c r="O989" t="s">
        <v>37</v>
      </c>
      <c r="P989" t="s">
        <v>45</v>
      </c>
      <c r="Q989">
        <v>6</v>
      </c>
      <c r="R989">
        <v>245.79</v>
      </c>
    </row>
    <row r="990" spans="1:18" x14ac:dyDescent="0.3">
      <c r="A990" t="s">
        <v>2041</v>
      </c>
      <c r="B990" t="s">
        <v>2042</v>
      </c>
      <c r="C990" t="s">
        <v>31</v>
      </c>
      <c r="D990" t="s">
        <v>21</v>
      </c>
      <c r="E990" s="4">
        <v>43478</v>
      </c>
      <c r="F990" t="s">
        <v>65</v>
      </c>
      <c r="G990" t="s">
        <v>44</v>
      </c>
      <c r="H990" t="s">
        <v>70</v>
      </c>
      <c r="I990" t="s">
        <v>34</v>
      </c>
      <c r="J990">
        <v>7</v>
      </c>
      <c r="K990">
        <v>523</v>
      </c>
      <c r="L990">
        <v>3443.88</v>
      </c>
      <c r="M990">
        <v>21327</v>
      </c>
      <c r="N990" t="s">
        <v>36</v>
      </c>
      <c r="O990" t="s">
        <v>27</v>
      </c>
      <c r="P990" t="s">
        <v>45</v>
      </c>
      <c r="Q990">
        <v>15</v>
      </c>
      <c r="R990">
        <v>113.65</v>
      </c>
    </row>
    <row r="991" spans="1:18" x14ac:dyDescent="0.3">
      <c r="A991" t="s">
        <v>2043</v>
      </c>
      <c r="B991" t="s">
        <v>2044</v>
      </c>
      <c r="C991" t="s">
        <v>79</v>
      </c>
      <c r="D991" t="s">
        <v>82</v>
      </c>
      <c r="E991" s="4">
        <v>45756</v>
      </c>
      <c r="F991" t="s">
        <v>69</v>
      </c>
      <c r="G991" t="s">
        <v>44</v>
      </c>
      <c r="H991" t="s">
        <v>55</v>
      </c>
      <c r="I991" t="s">
        <v>76</v>
      </c>
      <c r="J991">
        <v>1</v>
      </c>
      <c r="K991">
        <v>698</v>
      </c>
      <c r="L991">
        <v>416.83</v>
      </c>
      <c r="M991">
        <v>18458</v>
      </c>
      <c r="N991" t="s">
        <v>36</v>
      </c>
      <c r="O991" t="s">
        <v>62</v>
      </c>
      <c r="P991" t="s">
        <v>28</v>
      </c>
      <c r="Q991">
        <v>27</v>
      </c>
      <c r="R991">
        <v>239.89</v>
      </c>
    </row>
    <row r="992" spans="1:18" x14ac:dyDescent="0.3">
      <c r="A992" t="s">
        <v>2045</v>
      </c>
      <c r="B992" t="s">
        <v>2046</v>
      </c>
      <c r="C992" t="s">
        <v>116</v>
      </c>
      <c r="D992" t="s">
        <v>109</v>
      </c>
      <c r="E992" s="4">
        <v>43599</v>
      </c>
      <c r="F992" t="s">
        <v>65</v>
      </c>
      <c r="G992" t="s">
        <v>102</v>
      </c>
      <c r="H992" t="s">
        <v>34</v>
      </c>
      <c r="I992" t="s">
        <v>51</v>
      </c>
      <c r="J992">
        <v>5</v>
      </c>
      <c r="K992">
        <v>708</v>
      </c>
      <c r="L992">
        <v>1456.72</v>
      </c>
      <c r="M992">
        <v>603</v>
      </c>
      <c r="N992" t="s">
        <v>36</v>
      </c>
      <c r="O992" t="s">
        <v>56</v>
      </c>
      <c r="P992" t="s">
        <v>28</v>
      </c>
      <c r="Q992">
        <v>41</v>
      </c>
      <c r="R992">
        <v>74.38</v>
      </c>
    </row>
    <row r="993" spans="1:18" x14ac:dyDescent="0.3">
      <c r="A993" t="s">
        <v>2047</v>
      </c>
      <c r="B993" t="s">
        <v>2048</v>
      </c>
      <c r="C993" t="s">
        <v>41</v>
      </c>
      <c r="D993" t="s">
        <v>59</v>
      </c>
      <c r="E993" s="4">
        <v>43875</v>
      </c>
      <c r="F993" t="s">
        <v>43</v>
      </c>
      <c r="G993" t="s">
        <v>49</v>
      </c>
      <c r="H993" t="s">
        <v>50</v>
      </c>
      <c r="I993" t="s">
        <v>92</v>
      </c>
      <c r="J993">
        <v>6</v>
      </c>
      <c r="K993">
        <v>136</v>
      </c>
      <c r="L993">
        <v>4616.67</v>
      </c>
      <c r="M993">
        <v>32116</v>
      </c>
      <c r="N993" t="s">
        <v>26</v>
      </c>
      <c r="O993" t="s">
        <v>56</v>
      </c>
      <c r="P993" t="s">
        <v>45</v>
      </c>
      <c r="Q993">
        <v>30</v>
      </c>
      <c r="R993">
        <v>172.55</v>
      </c>
    </row>
    <row r="994" spans="1:18" x14ac:dyDescent="0.3">
      <c r="A994" t="s">
        <v>2049</v>
      </c>
      <c r="B994" t="s">
        <v>2050</v>
      </c>
      <c r="C994" t="s">
        <v>41</v>
      </c>
      <c r="D994" t="s">
        <v>109</v>
      </c>
      <c r="E994" s="4">
        <v>43320</v>
      </c>
      <c r="F994" t="s">
        <v>22</v>
      </c>
      <c r="G994" t="s">
        <v>23</v>
      </c>
      <c r="H994" t="s">
        <v>50</v>
      </c>
      <c r="I994" t="s">
        <v>76</v>
      </c>
      <c r="J994">
        <v>0</v>
      </c>
      <c r="K994">
        <v>488</v>
      </c>
      <c r="L994">
        <v>3124.37</v>
      </c>
      <c r="M994">
        <v>36954</v>
      </c>
      <c r="N994" t="s">
        <v>61</v>
      </c>
      <c r="O994" t="s">
        <v>56</v>
      </c>
      <c r="P994" t="s">
        <v>25</v>
      </c>
      <c r="Q994">
        <v>14</v>
      </c>
      <c r="R994">
        <v>154.02000000000001</v>
      </c>
    </row>
    <row r="995" spans="1:18" x14ac:dyDescent="0.3">
      <c r="A995" t="s">
        <v>2051</v>
      </c>
      <c r="B995" t="s">
        <v>2052</v>
      </c>
      <c r="C995" t="s">
        <v>68</v>
      </c>
      <c r="D995" t="s">
        <v>109</v>
      </c>
      <c r="E995" s="4">
        <v>41845</v>
      </c>
      <c r="F995" t="s">
        <v>22</v>
      </c>
      <c r="G995" t="s">
        <v>33</v>
      </c>
      <c r="H995" t="s">
        <v>50</v>
      </c>
      <c r="I995" t="s">
        <v>92</v>
      </c>
      <c r="J995">
        <v>3</v>
      </c>
      <c r="K995">
        <v>356</v>
      </c>
      <c r="L995">
        <v>4587.51</v>
      </c>
      <c r="M995">
        <v>39882</v>
      </c>
      <c r="N995" t="s">
        <v>61</v>
      </c>
      <c r="O995" t="s">
        <v>27</v>
      </c>
      <c r="P995" t="s">
        <v>52</v>
      </c>
      <c r="Q995">
        <v>5</v>
      </c>
      <c r="R995">
        <v>87.77</v>
      </c>
    </row>
    <row r="996" spans="1:18" x14ac:dyDescent="0.3">
      <c r="A996" t="s">
        <v>2053</v>
      </c>
      <c r="B996" t="s">
        <v>2054</v>
      </c>
      <c r="C996" t="s">
        <v>116</v>
      </c>
      <c r="D996" t="s">
        <v>32</v>
      </c>
      <c r="E996" s="4">
        <v>43744</v>
      </c>
      <c r="F996" t="s">
        <v>60</v>
      </c>
      <c r="G996" t="s">
        <v>49</v>
      </c>
      <c r="H996" t="s">
        <v>55</v>
      </c>
      <c r="I996" t="s">
        <v>51</v>
      </c>
      <c r="J996">
        <v>3</v>
      </c>
      <c r="K996">
        <v>1476</v>
      </c>
      <c r="L996">
        <v>2767.92</v>
      </c>
      <c r="M996">
        <v>42148</v>
      </c>
      <c r="N996" t="s">
        <v>26</v>
      </c>
      <c r="O996" t="s">
        <v>56</v>
      </c>
      <c r="P996" t="s">
        <v>25</v>
      </c>
      <c r="Q996">
        <v>43</v>
      </c>
      <c r="R996">
        <v>51.61</v>
      </c>
    </row>
    <row r="997" spans="1:18" x14ac:dyDescent="0.3">
      <c r="A997" t="s">
        <v>2055</v>
      </c>
      <c r="B997" t="s">
        <v>2056</v>
      </c>
      <c r="C997" t="s">
        <v>31</v>
      </c>
      <c r="D997" t="s">
        <v>21</v>
      </c>
      <c r="E997" s="4">
        <v>44400</v>
      </c>
      <c r="F997" t="s">
        <v>22</v>
      </c>
      <c r="G997" t="s">
        <v>33</v>
      </c>
      <c r="H997" t="s">
        <v>34</v>
      </c>
      <c r="I997" t="s">
        <v>25</v>
      </c>
      <c r="J997">
        <v>0</v>
      </c>
      <c r="K997">
        <v>848</v>
      </c>
      <c r="L997">
        <v>4197.34</v>
      </c>
      <c r="M997">
        <v>34040</v>
      </c>
      <c r="N997" t="s">
        <v>26</v>
      </c>
      <c r="O997" t="s">
        <v>56</v>
      </c>
      <c r="P997" t="s">
        <v>38</v>
      </c>
      <c r="Q997">
        <v>38</v>
      </c>
      <c r="R997">
        <v>5.97</v>
      </c>
    </row>
    <row r="998" spans="1:18" x14ac:dyDescent="0.3">
      <c r="A998" t="s">
        <v>2057</v>
      </c>
      <c r="B998" t="s">
        <v>2058</v>
      </c>
      <c r="C998" t="s">
        <v>97</v>
      </c>
      <c r="D998" t="s">
        <v>82</v>
      </c>
      <c r="E998" s="4">
        <v>43244</v>
      </c>
      <c r="F998" t="s">
        <v>22</v>
      </c>
      <c r="G998" t="s">
        <v>83</v>
      </c>
      <c r="H998" t="s">
        <v>75</v>
      </c>
      <c r="I998" t="s">
        <v>25</v>
      </c>
      <c r="J998">
        <v>6</v>
      </c>
      <c r="K998">
        <v>1027</v>
      </c>
      <c r="L998">
        <v>1293.67</v>
      </c>
      <c r="M998">
        <v>26217</v>
      </c>
      <c r="N998" t="s">
        <v>26</v>
      </c>
      <c r="O998" t="s">
        <v>27</v>
      </c>
      <c r="P998" t="s">
        <v>28</v>
      </c>
      <c r="Q998">
        <v>11</v>
      </c>
      <c r="R998">
        <v>86.16</v>
      </c>
    </row>
    <row r="999" spans="1:18" x14ac:dyDescent="0.3">
      <c r="A999" t="s">
        <v>2059</v>
      </c>
      <c r="B999" t="s">
        <v>2060</v>
      </c>
      <c r="C999" t="s">
        <v>79</v>
      </c>
      <c r="D999" t="s">
        <v>109</v>
      </c>
      <c r="E999" s="4">
        <v>40924</v>
      </c>
      <c r="F999" t="s">
        <v>22</v>
      </c>
      <c r="G999" t="s">
        <v>23</v>
      </c>
      <c r="H999" t="s">
        <v>34</v>
      </c>
      <c r="I999" t="s">
        <v>51</v>
      </c>
      <c r="J999">
        <v>7</v>
      </c>
      <c r="K999">
        <v>411</v>
      </c>
      <c r="L999">
        <v>4353.6400000000003</v>
      </c>
      <c r="M999">
        <v>42619</v>
      </c>
      <c r="N999" t="s">
        <v>26</v>
      </c>
      <c r="O999" t="s">
        <v>62</v>
      </c>
      <c r="P999" t="s">
        <v>52</v>
      </c>
      <c r="Q999">
        <v>7</v>
      </c>
      <c r="R999">
        <v>113.66</v>
      </c>
    </row>
    <row r="1000" spans="1:18" x14ac:dyDescent="0.3">
      <c r="A1000" t="s">
        <v>2061</v>
      </c>
      <c r="B1000" t="s">
        <v>2062</v>
      </c>
      <c r="C1000" t="s">
        <v>68</v>
      </c>
      <c r="D1000" t="s">
        <v>59</v>
      </c>
      <c r="E1000" s="4">
        <v>41875</v>
      </c>
      <c r="F1000" t="s">
        <v>69</v>
      </c>
      <c r="G1000" t="s">
        <v>44</v>
      </c>
      <c r="H1000" t="s">
        <v>34</v>
      </c>
      <c r="I1000" t="s">
        <v>34</v>
      </c>
      <c r="J1000">
        <v>4</v>
      </c>
      <c r="K1000">
        <v>692</v>
      </c>
      <c r="L1000">
        <v>960.31</v>
      </c>
      <c r="M1000">
        <v>32323</v>
      </c>
      <c r="N1000" t="s">
        <v>26</v>
      </c>
      <c r="O1000" t="s">
        <v>62</v>
      </c>
      <c r="P1000" t="s">
        <v>45</v>
      </c>
      <c r="Q1000">
        <v>32</v>
      </c>
      <c r="R1000">
        <v>178.88</v>
      </c>
    </row>
    <row r="1001" spans="1:18" x14ac:dyDescent="0.3">
      <c r="A1001" t="s">
        <v>2063</v>
      </c>
      <c r="B1001" t="s">
        <v>2064</v>
      </c>
      <c r="C1001" t="s">
        <v>41</v>
      </c>
      <c r="D1001" t="s">
        <v>82</v>
      </c>
      <c r="E1001" s="4">
        <v>41017</v>
      </c>
      <c r="F1001" t="s">
        <v>43</v>
      </c>
      <c r="G1001" t="s">
        <v>44</v>
      </c>
      <c r="H1001" t="s">
        <v>50</v>
      </c>
      <c r="I1001" t="s">
        <v>25</v>
      </c>
      <c r="J1001">
        <v>3</v>
      </c>
      <c r="K1001">
        <v>333</v>
      </c>
      <c r="L1001">
        <v>2670.89</v>
      </c>
      <c r="M1001">
        <v>9906</v>
      </c>
      <c r="N1001" t="s">
        <v>61</v>
      </c>
      <c r="O1001" t="s">
        <v>27</v>
      </c>
      <c r="P1001" t="s">
        <v>51</v>
      </c>
      <c r="Q1001">
        <v>36</v>
      </c>
      <c r="R1001">
        <v>171.52</v>
      </c>
    </row>
    <row r="1002" spans="1:18" x14ac:dyDescent="0.3">
      <c r="A1002" t="s">
        <v>2065</v>
      </c>
      <c r="B1002" t="s">
        <v>2066</v>
      </c>
      <c r="C1002" t="s">
        <v>41</v>
      </c>
      <c r="D1002" t="s">
        <v>109</v>
      </c>
      <c r="E1002" s="4">
        <v>45807</v>
      </c>
      <c r="F1002" t="s">
        <v>43</v>
      </c>
      <c r="G1002" t="s">
        <v>33</v>
      </c>
      <c r="H1002" t="s">
        <v>50</v>
      </c>
      <c r="I1002" t="s">
        <v>51</v>
      </c>
      <c r="J1002">
        <v>4</v>
      </c>
      <c r="K1002">
        <v>125</v>
      </c>
      <c r="L1002">
        <v>4891.63</v>
      </c>
      <c r="M1002">
        <v>49001</v>
      </c>
      <c r="N1002" t="s">
        <v>26</v>
      </c>
      <c r="O1002" t="s">
        <v>37</v>
      </c>
      <c r="P1002" t="s">
        <v>52</v>
      </c>
      <c r="Q1002">
        <v>50</v>
      </c>
      <c r="R1002">
        <v>86.73</v>
      </c>
    </row>
    <row r="1003" spans="1:18" x14ac:dyDescent="0.3">
      <c r="A1003" t="s">
        <v>2067</v>
      </c>
      <c r="B1003" t="s">
        <v>2068</v>
      </c>
      <c r="C1003" t="s">
        <v>41</v>
      </c>
      <c r="D1003" t="s">
        <v>21</v>
      </c>
      <c r="E1003" s="4">
        <v>42443</v>
      </c>
      <c r="F1003" t="s">
        <v>43</v>
      </c>
      <c r="G1003" t="s">
        <v>23</v>
      </c>
      <c r="H1003" t="s">
        <v>70</v>
      </c>
      <c r="I1003" t="s">
        <v>76</v>
      </c>
      <c r="J1003">
        <v>2</v>
      </c>
      <c r="K1003">
        <v>747</v>
      </c>
      <c r="L1003">
        <v>2868.31</v>
      </c>
      <c r="M1003">
        <v>49168</v>
      </c>
      <c r="N1003" t="s">
        <v>26</v>
      </c>
      <c r="O1003" t="s">
        <v>37</v>
      </c>
      <c r="P1003" t="s">
        <v>25</v>
      </c>
      <c r="Q1003">
        <v>6</v>
      </c>
      <c r="R1003">
        <v>167.3</v>
      </c>
    </row>
    <row r="1004" spans="1:18" x14ac:dyDescent="0.3">
      <c r="A1004" t="s">
        <v>2069</v>
      </c>
      <c r="B1004" t="s">
        <v>2070</v>
      </c>
      <c r="C1004" t="s">
        <v>20</v>
      </c>
      <c r="D1004" t="s">
        <v>59</v>
      </c>
      <c r="E1004" s="4">
        <v>44293</v>
      </c>
      <c r="F1004" t="s">
        <v>65</v>
      </c>
      <c r="G1004" t="s">
        <v>102</v>
      </c>
      <c r="H1004" t="s">
        <v>34</v>
      </c>
      <c r="I1004" t="s">
        <v>92</v>
      </c>
      <c r="J1004">
        <v>6</v>
      </c>
      <c r="K1004">
        <v>743</v>
      </c>
      <c r="L1004">
        <v>2726.12</v>
      </c>
      <c r="M1004">
        <v>42444</v>
      </c>
      <c r="N1004" t="s">
        <v>36</v>
      </c>
      <c r="O1004" t="s">
        <v>56</v>
      </c>
      <c r="P1004" t="s">
        <v>38</v>
      </c>
      <c r="Q1004">
        <v>11</v>
      </c>
      <c r="R1004">
        <v>17.21</v>
      </c>
    </row>
    <row r="1005" spans="1:18" x14ac:dyDescent="0.3">
      <c r="A1005" t="s">
        <v>2071</v>
      </c>
      <c r="B1005" t="s">
        <v>2072</v>
      </c>
      <c r="C1005" t="s">
        <v>97</v>
      </c>
      <c r="D1005" t="s">
        <v>82</v>
      </c>
      <c r="E1005" s="4">
        <v>43495</v>
      </c>
      <c r="F1005" t="s">
        <v>65</v>
      </c>
      <c r="G1005" t="s">
        <v>44</v>
      </c>
      <c r="H1005" t="s">
        <v>55</v>
      </c>
      <c r="I1005" t="s">
        <v>35</v>
      </c>
      <c r="J1005">
        <v>6</v>
      </c>
      <c r="K1005">
        <v>100</v>
      </c>
      <c r="L1005">
        <v>2872.28</v>
      </c>
      <c r="M1005">
        <v>27996</v>
      </c>
      <c r="N1005" t="s">
        <v>36</v>
      </c>
      <c r="O1005" t="s">
        <v>56</v>
      </c>
      <c r="P1005" t="s">
        <v>25</v>
      </c>
      <c r="Q1005">
        <v>5</v>
      </c>
      <c r="R1005">
        <v>125.12</v>
      </c>
    </row>
    <row r="1006" spans="1:18" x14ac:dyDescent="0.3">
      <c r="A1006" t="s">
        <v>2073</v>
      </c>
      <c r="B1006" t="s">
        <v>2074</v>
      </c>
      <c r="C1006" t="s">
        <v>97</v>
      </c>
      <c r="D1006" t="s">
        <v>109</v>
      </c>
      <c r="E1006" s="4">
        <v>45275</v>
      </c>
      <c r="F1006" t="s">
        <v>48</v>
      </c>
      <c r="G1006" t="s">
        <v>49</v>
      </c>
      <c r="H1006" t="s">
        <v>24</v>
      </c>
      <c r="I1006" t="s">
        <v>76</v>
      </c>
      <c r="J1006">
        <v>1</v>
      </c>
      <c r="K1006">
        <v>1134</v>
      </c>
      <c r="L1006">
        <v>1722.17</v>
      </c>
      <c r="M1006">
        <v>30241</v>
      </c>
      <c r="N1006" t="s">
        <v>61</v>
      </c>
      <c r="O1006" t="s">
        <v>27</v>
      </c>
      <c r="P1006" t="s">
        <v>25</v>
      </c>
      <c r="Q1006">
        <v>45</v>
      </c>
      <c r="R1006">
        <v>83.23</v>
      </c>
    </row>
    <row r="1007" spans="1:18" x14ac:dyDescent="0.3">
      <c r="A1007" t="s">
        <v>2075</v>
      </c>
      <c r="B1007" t="s">
        <v>2076</v>
      </c>
      <c r="C1007" t="s">
        <v>41</v>
      </c>
      <c r="D1007" t="s">
        <v>32</v>
      </c>
      <c r="E1007" s="4">
        <v>43726</v>
      </c>
      <c r="F1007" t="s">
        <v>48</v>
      </c>
      <c r="G1007" t="s">
        <v>102</v>
      </c>
      <c r="H1007" t="s">
        <v>75</v>
      </c>
      <c r="I1007" t="s">
        <v>92</v>
      </c>
      <c r="J1007">
        <v>3</v>
      </c>
      <c r="K1007">
        <v>905</v>
      </c>
      <c r="L1007">
        <v>2801.45</v>
      </c>
      <c r="M1007">
        <v>38034</v>
      </c>
      <c r="N1007" t="s">
        <v>36</v>
      </c>
      <c r="O1007" t="s">
        <v>37</v>
      </c>
      <c r="P1007" t="s">
        <v>28</v>
      </c>
      <c r="Q1007">
        <v>13</v>
      </c>
      <c r="R1007">
        <v>240.55</v>
      </c>
    </row>
    <row r="1008" spans="1:18" x14ac:dyDescent="0.3">
      <c r="A1008" t="s">
        <v>2077</v>
      </c>
      <c r="B1008" t="s">
        <v>2078</v>
      </c>
      <c r="C1008" t="s">
        <v>41</v>
      </c>
      <c r="D1008" t="s">
        <v>59</v>
      </c>
      <c r="E1008" s="4">
        <v>43974</v>
      </c>
      <c r="F1008" t="s">
        <v>48</v>
      </c>
      <c r="G1008" t="s">
        <v>102</v>
      </c>
      <c r="H1008" t="s">
        <v>75</v>
      </c>
      <c r="I1008" t="s">
        <v>35</v>
      </c>
      <c r="J1008">
        <v>5</v>
      </c>
      <c r="K1008">
        <v>1471</v>
      </c>
      <c r="L1008">
        <v>3819.53</v>
      </c>
      <c r="M1008">
        <v>2181</v>
      </c>
      <c r="N1008" t="s">
        <v>26</v>
      </c>
      <c r="O1008" t="s">
        <v>56</v>
      </c>
      <c r="P1008" t="s">
        <v>45</v>
      </c>
      <c r="Q1008">
        <v>46</v>
      </c>
      <c r="R1008">
        <v>238.64</v>
      </c>
    </row>
    <row r="1009" spans="1:18" x14ac:dyDescent="0.3">
      <c r="A1009" t="s">
        <v>2079</v>
      </c>
      <c r="B1009" t="s">
        <v>2080</v>
      </c>
      <c r="C1009" t="s">
        <v>68</v>
      </c>
      <c r="D1009" t="s">
        <v>42</v>
      </c>
      <c r="E1009" s="4">
        <v>41329</v>
      </c>
      <c r="F1009" t="s">
        <v>22</v>
      </c>
      <c r="G1009" t="s">
        <v>102</v>
      </c>
      <c r="H1009" t="s">
        <v>55</v>
      </c>
      <c r="I1009" t="s">
        <v>76</v>
      </c>
      <c r="J1009">
        <v>3</v>
      </c>
      <c r="K1009">
        <v>207</v>
      </c>
      <c r="L1009">
        <v>1482.63</v>
      </c>
      <c r="M1009">
        <v>17843</v>
      </c>
      <c r="N1009" t="s">
        <v>26</v>
      </c>
      <c r="O1009" t="s">
        <v>27</v>
      </c>
      <c r="P1009" t="s">
        <v>25</v>
      </c>
      <c r="Q1009">
        <v>50</v>
      </c>
      <c r="R1009">
        <v>142.69999999999999</v>
      </c>
    </row>
    <row r="1010" spans="1:18" x14ac:dyDescent="0.3">
      <c r="A1010" t="s">
        <v>2081</v>
      </c>
      <c r="B1010" t="s">
        <v>2082</v>
      </c>
      <c r="C1010" t="s">
        <v>116</v>
      </c>
      <c r="D1010" t="s">
        <v>59</v>
      </c>
      <c r="E1010" s="4">
        <v>41606</v>
      </c>
      <c r="F1010" t="s">
        <v>43</v>
      </c>
      <c r="G1010" t="s">
        <v>83</v>
      </c>
      <c r="H1010" t="s">
        <v>34</v>
      </c>
      <c r="I1010" t="s">
        <v>34</v>
      </c>
      <c r="J1010">
        <v>4</v>
      </c>
      <c r="K1010">
        <v>2</v>
      </c>
      <c r="L1010">
        <v>1939.63</v>
      </c>
      <c r="M1010">
        <v>10385</v>
      </c>
      <c r="N1010" t="s">
        <v>61</v>
      </c>
      <c r="O1010" t="s">
        <v>27</v>
      </c>
      <c r="P1010" t="s">
        <v>51</v>
      </c>
      <c r="Q1010">
        <v>5</v>
      </c>
      <c r="R1010">
        <v>195.71</v>
      </c>
    </row>
    <row r="1011" spans="1:18" x14ac:dyDescent="0.3">
      <c r="A1011" t="s">
        <v>2083</v>
      </c>
      <c r="B1011" t="s">
        <v>2084</v>
      </c>
      <c r="C1011" t="s">
        <v>31</v>
      </c>
      <c r="D1011" t="s">
        <v>42</v>
      </c>
      <c r="E1011" s="4">
        <v>44925</v>
      </c>
      <c r="F1011" t="s">
        <v>43</v>
      </c>
      <c r="G1011" t="s">
        <v>102</v>
      </c>
      <c r="H1011" t="s">
        <v>70</v>
      </c>
      <c r="I1011" t="s">
        <v>25</v>
      </c>
      <c r="J1011">
        <v>2</v>
      </c>
      <c r="K1011">
        <v>1291</v>
      </c>
      <c r="L1011">
        <v>4097.37</v>
      </c>
      <c r="M1011">
        <v>44838</v>
      </c>
      <c r="N1011" t="s">
        <v>26</v>
      </c>
      <c r="O1011" t="s">
        <v>62</v>
      </c>
      <c r="P1011" t="s">
        <v>25</v>
      </c>
      <c r="Q1011">
        <v>42</v>
      </c>
      <c r="R1011">
        <v>122.98</v>
      </c>
    </row>
    <row r="1012" spans="1:18" x14ac:dyDescent="0.3">
      <c r="A1012" t="s">
        <v>2085</v>
      </c>
      <c r="B1012" t="s">
        <v>2086</v>
      </c>
      <c r="C1012" t="s">
        <v>41</v>
      </c>
      <c r="D1012" t="s">
        <v>32</v>
      </c>
      <c r="E1012" s="4">
        <v>44933</v>
      </c>
      <c r="F1012" t="s">
        <v>60</v>
      </c>
      <c r="G1012" t="s">
        <v>102</v>
      </c>
      <c r="H1012" t="s">
        <v>50</v>
      </c>
      <c r="I1012" t="s">
        <v>51</v>
      </c>
      <c r="J1012">
        <v>5</v>
      </c>
      <c r="K1012">
        <v>607</v>
      </c>
      <c r="L1012">
        <v>2650.11</v>
      </c>
      <c r="M1012">
        <v>31427</v>
      </c>
      <c r="N1012" t="s">
        <v>26</v>
      </c>
      <c r="O1012" t="s">
        <v>56</v>
      </c>
      <c r="P1012" t="s">
        <v>45</v>
      </c>
      <c r="Q1012">
        <v>41</v>
      </c>
      <c r="R1012">
        <v>151.72</v>
      </c>
    </row>
    <row r="1013" spans="1:18" x14ac:dyDescent="0.3">
      <c r="A1013" t="s">
        <v>2087</v>
      </c>
      <c r="B1013" t="s">
        <v>2088</v>
      </c>
      <c r="C1013" t="s">
        <v>79</v>
      </c>
      <c r="D1013" t="s">
        <v>109</v>
      </c>
      <c r="E1013" s="4">
        <v>44501</v>
      </c>
      <c r="F1013" t="s">
        <v>65</v>
      </c>
      <c r="G1013" t="s">
        <v>23</v>
      </c>
      <c r="H1013" t="s">
        <v>75</v>
      </c>
      <c r="I1013" t="s">
        <v>92</v>
      </c>
      <c r="J1013">
        <v>2</v>
      </c>
      <c r="K1013">
        <v>1348</v>
      </c>
      <c r="L1013">
        <v>3766.89</v>
      </c>
      <c r="M1013">
        <v>23284</v>
      </c>
      <c r="N1013" t="s">
        <v>26</v>
      </c>
      <c r="O1013" t="s">
        <v>37</v>
      </c>
      <c r="P1013" t="s">
        <v>45</v>
      </c>
      <c r="Q1013">
        <v>7</v>
      </c>
      <c r="R1013">
        <v>248.85</v>
      </c>
    </row>
    <row r="1014" spans="1:18" x14ac:dyDescent="0.3">
      <c r="A1014" t="s">
        <v>2089</v>
      </c>
      <c r="B1014" t="s">
        <v>2090</v>
      </c>
      <c r="C1014" t="s">
        <v>116</v>
      </c>
      <c r="D1014" t="s">
        <v>32</v>
      </c>
      <c r="E1014" s="4">
        <v>43713</v>
      </c>
      <c r="F1014" t="s">
        <v>60</v>
      </c>
      <c r="G1014" t="s">
        <v>23</v>
      </c>
      <c r="H1014" t="s">
        <v>34</v>
      </c>
      <c r="I1014" t="s">
        <v>51</v>
      </c>
      <c r="J1014">
        <v>7</v>
      </c>
      <c r="K1014">
        <v>489</v>
      </c>
      <c r="L1014">
        <v>2941.4</v>
      </c>
      <c r="M1014">
        <v>44051</v>
      </c>
      <c r="N1014" t="s">
        <v>61</v>
      </c>
      <c r="O1014" t="s">
        <v>56</v>
      </c>
      <c r="P1014" t="s">
        <v>52</v>
      </c>
      <c r="Q1014">
        <v>3</v>
      </c>
      <c r="R1014">
        <v>205.11</v>
      </c>
    </row>
    <row r="1015" spans="1:18" x14ac:dyDescent="0.3">
      <c r="A1015" t="s">
        <v>2091</v>
      </c>
      <c r="B1015" t="s">
        <v>2092</v>
      </c>
      <c r="C1015" t="s">
        <v>79</v>
      </c>
      <c r="D1015" t="s">
        <v>59</v>
      </c>
      <c r="E1015" s="4">
        <v>43577</v>
      </c>
      <c r="F1015" t="s">
        <v>65</v>
      </c>
      <c r="G1015" t="s">
        <v>49</v>
      </c>
      <c r="H1015" t="s">
        <v>24</v>
      </c>
      <c r="I1015" t="s">
        <v>92</v>
      </c>
      <c r="J1015">
        <v>6</v>
      </c>
      <c r="K1015">
        <v>924</v>
      </c>
      <c r="L1015">
        <v>4340.87</v>
      </c>
      <c r="M1015">
        <v>44260</v>
      </c>
      <c r="N1015" t="s">
        <v>61</v>
      </c>
      <c r="O1015" t="s">
        <v>37</v>
      </c>
      <c r="P1015" t="s">
        <v>28</v>
      </c>
      <c r="Q1015">
        <v>30</v>
      </c>
      <c r="R1015">
        <v>239.51</v>
      </c>
    </row>
    <row r="1016" spans="1:18" x14ac:dyDescent="0.3">
      <c r="A1016" t="s">
        <v>2093</v>
      </c>
      <c r="B1016" t="s">
        <v>2094</v>
      </c>
      <c r="C1016" t="s">
        <v>79</v>
      </c>
      <c r="D1016" t="s">
        <v>82</v>
      </c>
      <c r="E1016" s="4">
        <v>41517</v>
      </c>
      <c r="F1016" t="s">
        <v>65</v>
      </c>
      <c r="G1016" t="s">
        <v>33</v>
      </c>
      <c r="H1016" t="s">
        <v>55</v>
      </c>
      <c r="I1016" t="s">
        <v>34</v>
      </c>
      <c r="J1016">
        <v>5</v>
      </c>
      <c r="K1016">
        <v>269</v>
      </c>
      <c r="L1016">
        <v>3918.35</v>
      </c>
      <c r="M1016">
        <v>7244</v>
      </c>
      <c r="N1016" t="s">
        <v>26</v>
      </c>
      <c r="O1016" t="s">
        <v>37</v>
      </c>
      <c r="P1016" t="s">
        <v>45</v>
      </c>
      <c r="Q1016">
        <v>8</v>
      </c>
      <c r="R1016">
        <v>6.71</v>
      </c>
    </row>
    <row r="1017" spans="1:18" x14ac:dyDescent="0.3">
      <c r="A1017" t="s">
        <v>2095</v>
      </c>
      <c r="B1017" t="s">
        <v>2096</v>
      </c>
      <c r="C1017" t="s">
        <v>79</v>
      </c>
      <c r="D1017" t="s">
        <v>42</v>
      </c>
      <c r="E1017" s="4">
        <v>44584</v>
      </c>
      <c r="F1017" t="s">
        <v>48</v>
      </c>
      <c r="G1017" t="s">
        <v>83</v>
      </c>
      <c r="H1017" t="s">
        <v>70</v>
      </c>
      <c r="I1017" t="s">
        <v>34</v>
      </c>
      <c r="J1017">
        <v>6</v>
      </c>
      <c r="K1017">
        <v>719</v>
      </c>
      <c r="L1017">
        <v>1271.78</v>
      </c>
      <c r="M1017">
        <v>35947</v>
      </c>
      <c r="N1017" t="s">
        <v>61</v>
      </c>
      <c r="O1017" t="s">
        <v>27</v>
      </c>
      <c r="P1017" t="s">
        <v>45</v>
      </c>
      <c r="Q1017">
        <v>8</v>
      </c>
      <c r="R1017">
        <v>169.79</v>
      </c>
    </row>
    <row r="1018" spans="1:18" x14ac:dyDescent="0.3">
      <c r="A1018" t="s">
        <v>2097</v>
      </c>
      <c r="B1018" t="s">
        <v>2098</v>
      </c>
      <c r="C1018" t="s">
        <v>97</v>
      </c>
      <c r="D1018" t="s">
        <v>82</v>
      </c>
      <c r="E1018" s="4">
        <v>46063</v>
      </c>
      <c r="F1018" t="s">
        <v>48</v>
      </c>
      <c r="G1018" t="s">
        <v>23</v>
      </c>
      <c r="H1018" t="s">
        <v>70</v>
      </c>
      <c r="I1018" t="s">
        <v>76</v>
      </c>
      <c r="J1018">
        <v>4</v>
      </c>
      <c r="K1018">
        <v>334</v>
      </c>
      <c r="L1018">
        <v>3237.84</v>
      </c>
      <c r="M1018">
        <v>19762</v>
      </c>
      <c r="N1018" t="s">
        <v>61</v>
      </c>
      <c r="O1018" t="s">
        <v>37</v>
      </c>
      <c r="P1018" t="s">
        <v>52</v>
      </c>
      <c r="Q1018">
        <v>44</v>
      </c>
      <c r="R1018">
        <v>97.65</v>
      </c>
    </row>
    <row r="1019" spans="1:18" x14ac:dyDescent="0.3">
      <c r="A1019" t="s">
        <v>2099</v>
      </c>
      <c r="B1019" t="s">
        <v>2100</v>
      </c>
      <c r="C1019" t="s">
        <v>31</v>
      </c>
      <c r="D1019" t="s">
        <v>82</v>
      </c>
      <c r="E1019" s="4">
        <v>40378</v>
      </c>
      <c r="F1019" t="s">
        <v>43</v>
      </c>
      <c r="G1019" t="s">
        <v>33</v>
      </c>
      <c r="H1019" t="s">
        <v>70</v>
      </c>
      <c r="I1019" t="s">
        <v>25</v>
      </c>
      <c r="J1019">
        <v>0</v>
      </c>
      <c r="K1019">
        <v>130</v>
      </c>
      <c r="L1019">
        <v>2682.63</v>
      </c>
      <c r="M1019">
        <v>8384</v>
      </c>
      <c r="N1019" t="s">
        <v>36</v>
      </c>
      <c r="O1019" t="s">
        <v>27</v>
      </c>
      <c r="P1019" t="s">
        <v>25</v>
      </c>
      <c r="Q1019">
        <v>42</v>
      </c>
      <c r="R1019">
        <v>69.66</v>
      </c>
    </row>
    <row r="1020" spans="1:18" x14ac:dyDescent="0.3">
      <c r="A1020" t="s">
        <v>2101</v>
      </c>
      <c r="B1020" t="s">
        <v>2102</v>
      </c>
      <c r="C1020" t="s">
        <v>20</v>
      </c>
      <c r="D1020" t="s">
        <v>82</v>
      </c>
      <c r="E1020" s="4">
        <v>44952</v>
      </c>
      <c r="F1020" t="s">
        <v>48</v>
      </c>
      <c r="G1020" t="s">
        <v>33</v>
      </c>
      <c r="H1020" t="s">
        <v>55</v>
      </c>
      <c r="I1020" t="s">
        <v>92</v>
      </c>
      <c r="J1020">
        <v>4</v>
      </c>
      <c r="K1020">
        <v>716</v>
      </c>
      <c r="L1020">
        <v>2516.56</v>
      </c>
      <c r="M1020">
        <v>14155</v>
      </c>
      <c r="N1020" t="s">
        <v>26</v>
      </c>
      <c r="O1020" t="s">
        <v>62</v>
      </c>
      <c r="P1020" t="s">
        <v>45</v>
      </c>
      <c r="Q1020">
        <v>14</v>
      </c>
      <c r="R1020">
        <v>248.6</v>
      </c>
    </row>
    <row r="1021" spans="1:18" x14ac:dyDescent="0.3">
      <c r="A1021" t="s">
        <v>2103</v>
      </c>
      <c r="B1021" t="s">
        <v>2104</v>
      </c>
      <c r="C1021" t="s">
        <v>68</v>
      </c>
      <c r="D1021" t="s">
        <v>32</v>
      </c>
      <c r="E1021" s="4">
        <v>44636</v>
      </c>
      <c r="F1021" t="s">
        <v>65</v>
      </c>
      <c r="G1021" t="s">
        <v>44</v>
      </c>
      <c r="H1021" t="s">
        <v>70</v>
      </c>
      <c r="I1021" t="s">
        <v>25</v>
      </c>
      <c r="J1021">
        <v>7</v>
      </c>
      <c r="K1021">
        <v>1488</v>
      </c>
      <c r="L1021">
        <v>1803.01</v>
      </c>
      <c r="M1021">
        <v>46596</v>
      </c>
      <c r="N1021" t="s">
        <v>36</v>
      </c>
      <c r="O1021" t="s">
        <v>37</v>
      </c>
      <c r="P1021" t="s">
        <v>28</v>
      </c>
      <c r="Q1021">
        <v>48</v>
      </c>
      <c r="R1021">
        <v>64.150000000000006</v>
      </c>
    </row>
    <row r="1022" spans="1:18" x14ac:dyDescent="0.3">
      <c r="A1022" t="s">
        <v>2105</v>
      </c>
      <c r="B1022" t="s">
        <v>2106</v>
      </c>
      <c r="C1022" t="s">
        <v>31</v>
      </c>
      <c r="D1022" t="s">
        <v>109</v>
      </c>
      <c r="E1022" s="4">
        <v>42502</v>
      </c>
      <c r="F1022" t="s">
        <v>69</v>
      </c>
      <c r="G1022" t="s">
        <v>33</v>
      </c>
      <c r="H1022" t="s">
        <v>75</v>
      </c>
      <c r="I1022" t="s">
        <v>51</v>
      </c>
      <c r="J1022">
        <v>5</v>
      </c>
      <c r="K1022">
        <v>1034</v>
      </c>
      <c r="L1022">
        <v>1456.34</v>
      </c>
      <c r="M1022">
        <v>12937</v>
      </c>
      <c r="N1022" t="s">
        <v>61</v>
      </c>
      <c r="O1022" t="s">
        <v>27</v>
      </c>
      <c r="P1022" t="s">
        <v>45</v>
      </c>
      <c r="Q1022">
        <v>20</v>
      </c>
      <c r="R1022">
        <v>9.6</v>
      </c>
    </row>
    <row r="1023" spans="1:18" x14ac:dyDescent="0.3">
      <c r="A1023" t="s">
        <v>2107</v>
      </c>
      <c r="B1023" t="s">
        <v>2108</v>
      </c>
      <c r="C1023" t="s">
        <v>41</v>
      </c>
      <c r="D1023" t="s">
        <v>109</v>
      </c>
      <c r="E1023" s="4">
        <v>43747</v>
      </c>
      <c r="F1023" t="s">
        <v>43</v>
      </c>
      <c r="G1023" t="s">
        <v>102</v>
      </c>
      <c r="H1023" t="s">
        <v>55</v>
      </c>
      <c r="I1023" t="s">
        <v>34</v>
      </c>
      <c r="J1023">
        <v>0</v>
      </c>
      <c r="K1023">
        <v>1372</v>
      </c>
      <c r="L1023">
        <v>2619.64</v>
      </c>
      <c r="M1023">
        <v>49572</v>
      </c>
      <c r="N1023" t="s">
        <v>36</v>
      </c>
      <c r="O1023" t="s">
        <v>62</v>
      </c>
      <c r="P1023" t="s">
        <v>52</v>
      </c>
      <c r="Q1023">
        <v>46</v>
      </c>
      <c r="R1023">
        <v>91.62</v>
      </c>
    </row>
    <row r="1024" spans="1:18" x14ac:dyDescent="0.3">
      <c r="A1024" t="s">
        <v>2109</v>
      </c>
      <c r="B1024" t="s">
        <v>2110</v>
      </c>
      <c r="C1024" t="s">
        <v>79</v>
      </c>
      <c r="D1024" t="s">
        <v>59</v>
      </c>
      <c r="E1024" s="4">
        <v>43086</v>
      </c>
      <c r="F1024" t="s">
        <v>65</v>
      </c>
      <c r="G1024" t="s">
        <v>44</v>
      </c>
      <c r="H1024" t="s">
        <v>24</v>
      </c>
      <c r="I1024" t="s">
        <v>25</v>
      </c>
      <c r="J1024">
        <v>4</v>
      </c>
      <c r="K1024">
        <v>348</v>
      </c>
      <c r="L1024">
        <v>2135.3200000000002</v>
      </c>
      <c r="M1024">
        <v>49214</v>
      </c>
      <c r="N1024" t="s">
        <v>26</v>
      </c>
      <c r="O1024" t="s">
        <v>37</v>
      </c>
      <c r="P1024" t="s">
        <v>38</v>
      </c>
      <c r="Q1024">
        <v>24</v>
      </c>
      <c r="R1024">
        <v>194.11</v>
      </c>
    </row>
    <row r="1025" spans="1:18" x14ac:dyDescent="0.3">
      <c r="A1025" t="s">
        <v>2111</v>
      </c>
      <c r="B1025" t="s">
        <v>2112</v>
      </c>
      <c r="C1025" t="s">
        <v>20</v>
      </c>
      <c r="D1025" t="s">
        <v>32</v>
      </c>
      <c r="E1025" s="4">
        <v>46011</v>
      </c>
      <c r="F1025" t="s">
        <v>69</v>
      </c>
      <c r="G1025" t="s">
        <v>102</v>
      </c>
      <c r="H1025" t="s">
        <v>70</v>
      </c>
      <c r="I1025" t="s">
        <v>34</v>
      </c>
      <c r="J1025">
        <v>6</v>
      </c>
      <c r="K1025">
        <v>640</v>
      </c>
      <c r="L1025">
        <v>4728.99</v>
      </c>
      <c r="M1025">
        <v>10968</v>
      </c>
      <c r="N1025" t="s">
        <v>36</v>
      </c>
      <c r="O1025" t="s">
        <v>56</v>
      </c>
      <c r="P1025" t="s">
        <v>52</v>
      </c>
      <c r="Q1025">
        <v>46</v>
      </c>
      <c r="R1025">
        <v>130.12</v>
      </c>
    </row>
    <row r="1026" spans="1:18" x14ac:dyDescent="0.3">
      <c r="A1026" t="s">
        <v>2113</v>
      </c>
      <c r="B1026" t="s">
        <v>2114</v>
      </c>
      <c r="C1026" t="s">
        <v>41</v>
      </c>
      <c r="D1026" t="s">
        <v>32</v>
      </c>
      <c r="E1026" s="4">
        <v>43875</v>
      </c>
      <c r="F1026" t="s">
        <v>48</v>
      </c>
      <c r="G1026" t="s">
        <v>33</v>
      </c>
      <c r="H1026" t="s">
        <v>34</v>
      </c>
      <c r="I1026" t="s">
        <v>76</v>
      </c>
      <c r="J1026">
        <v>1</v>
      </c>
      <c r="K1026">
        <v>450</v>
      </c>
      <c r="L1026">
        <v>2832.26</v>
      </c>
      <c r="M1026">
        <v>17002</v>
      </c>
      <c r="N1026" t="s">
        <v>26</v>
      </c>
      <c r="O1026" t="s">
        <v>27</v>
      </c>
      <c r="P1026" t="s">
        <v>51</v>
      </c>
      <c r="Q1026">
        <v>45</v>
      </c>
      <c r="R1026">
        <v>10.94</v>
      </c>
    </row>
    <row r="1027" spans="1:18" x14ac:dyDescent="0.3">
      <c r="A1027" t="s">
        <v>2115</v>
      </c>
      <c r="B1027" t="s">
        <v>2116</v>
      </c>
      <c r="C1027" t="s">
        <v>68</v>
      </c>
      <c r="D1027" t="s">
        <v>82</v>
      </c>
      <c r="E1027" s="4">
        <v>41363</v>
      </c>
      <c r="F1027" t="s">
        <v>69</v>
      </c>
      <c r="G1027" t="s">
        <v>33</v>
      </c>
      <c r="H1027" t="s">
        <v>70</v>
      </c>
      <c r="I1027" t="s">
        <v>76</v>
      </c>
      <c r="J1027">
        <v>8</v>
      </c>
      <c r="K1027">
        <v>369</v>
      </c>
      <c r="L1027">
        <v>1817.66</v>
      </c>
      <c r="M1027">
        <v>5881</v>
      </c>
      <c r="N1027" t="s">
        <v>36</v>
      </c>
      <c r="O1027" t="s">
        <v>37</v>
      </c>
      <c r="P1027" t="s">
        <v>28</v>
      </c>
      <c r="Q1027">
        <v>36</v>
      </c>
      <c r="R1027">
        <v>249.8</v>
      </c>
    </row>
    <row r="1028" spans="1:18" x14ac:dyDescent="0.3">
      <c r="A1028" t="s">
        <v>2117</v>
      </c>
      <c r="B1028" t="s">
        <v>2118</v>
      </c>
      <c r="C1028" t="s">
        <v>79</v>
      </c>
      <c r="D1028" t="s">
        <v>59</v>
      </c>
      <c r="E1028" s="4">
        <v>42107</v>
      </c>
      <c r="F1028" t="s">
        <v>69</v>
      </c>
      <c r="G1028" t="s">
        <v>49</v>
      </c>
      <c r="H1028" t="s">
        <v>70</v>
      </c>
      <c r="I1028" t="s">
        <v>34</v>
      </c>
      <c r="J1028">
        <v>7</v>
      </c>
      <c r="K1028">
        <v>882</v>
      </c>
      <c r="L1028">
        <v>3313.83</v>
      </c>
      <c r="M1028">
        <v>37875</v>
      </c>
      <c r="N1028" t="s">
        <v>36</v>
      </c>
      <c r="O1028" t="s">
        <v>56</v>
      </c>
      <c r="P1028" t="s">
        <v>51</v>
      </c>
      <c r="Q1028">
        <v>50</v>
      </c>
      <c r="R1028">
        <v>119.32</v>
      </c>
    </row>
    <row r="1029" spans="1:18" x14ac:dyDescent="0.3">
      <c r="A1029" t="s">
        <v>2119</v>
      </c>
      <c r="B1029" t="s">
        <v>2120</v>
      </c>
      <c r="C1029" t="s">
        <v>116</v>
      </c>
      <c r="D1029" t="s">
        <v>82</v>
      </c>
      <c r="E1029" s="4">
        <v>44161</v>
      </c>
      <c r="F1029" t="s">
        <v>65</v>
      </c>
      <c r="G1029" t="s">
        <v>49</v>
      </c>
      <c r="H1029" t="s">
        <v>70</v>
      </c>
      <c r="I1029" t="s">
        <v>76</v>
      </c>
      <c r="J1029">
        <v>5</v>
      </c>
      <c r="K1029">
        <v>616</v>
      </c>
      <c r="L1029">
        <v>1999.91</v>
      </c>
      <c r="M1029">
        <v>18787</v>
      </c>
      <c r="N1029" t="s">
        <v>61</v>
      </c>
      <c r="O1029" t="s">
        <v>37</v>
      </c>
      <c r="P1029" t="s">
        <v>38</v>
      </c>
      <c r="Q1029">
        <v>40</v>
      </c>
      <c r="R1029">
        <v>0.99</v>
      </c>
    </row>
    <row r="1030" spans="1:18" x14ac:dyDescent="0.3">
      <c r="A1030" t="s">
        <v>2121</v>
      </c>
      <c r="B1030" t="s">
        <v>2122</v>
      </c>
      <c r="C1030" t="s">
        <v>116</v>
      </c>
      <c r="D1030" t="s">
        <v>42</v>
      </c>
      <c r="E1030" s="4">
        <v>40269</v>
      </c>
      <c r="F1030" t="s">
        <v>43</v>
      </c>
      <c r="G1030" t="s">
        <v>23</v>
      </c>
      <c r="H1030" t="s">
        <v>70</v>
      </c>
      <c r="I1030" t="s">
        <v>51</v>
      </c>
      <c r="J1030">
        <v>0</v>
      </c>
      <c r="K1030">
        <v>950</v>
      </c>
      <c r="L1030">
        <v>702.17</v>
      </c>
      <c r="M1030">
        <v>35266</v>
      </c>
      <c r="N1030" t="s">
        <v>26</v>
      </c>
      <c r="O1030" t="s">
        <v>62</v>
      </c>
      <c r="P1030" t="s">
        <v>51</v>
      </c>
      <c r="Q1030">
        <v>30</v>
      </c>
      <c r="R1030">
        <v>15.91</v>
      </c>
    </row>
    <row r="1031" spans="1:18" x14ac:dyDescent="0.3">
      <c r="A1031" t="s">
        <v>2123</v>
      </c>
      <c r="B1031" t="s">
        <v>2124</v>
      </c>
      <c r="C1031" t="s">
        <v>41</v>
      </c>
      <c r="D1031" t="s">
        <v>32</v>
      </c>
      <c r="E1031" s="4">
        <v>44936</v>
      </c>
      <c r="F1031" t="s">
        <v>60</v>
      </c>
      <c r="G1031" t="s">
        <v>102</v>
      </c>
      <c r="H1031" t="s">
        <v>55</v>
      </c>
      <c r="I1031" t="s">
        <v>34</v>
      </c>
      <c r="J1031">
        <v>4</v>
      </c>
      <c r="K1031">
        <v>128</v>
      </c>
      <c r="L1031">
        <v>3235.83</v>
      </c>
      <c r="M1031">
        <v>23193</v>
      </c>
      <c r="N1031" t="s">
        <v>26</v>
      </c>
      <c r="O1031" t="s">
        <v>62</v>
      </c>
      <c r="P1031" t="s">
        <v>52</v>
      </c>
      <c r="Q1031">
        <v>11</v>
      </c>
      <c r="R1031">
        <v>229.23</v>
      </c>
    </row>
    <row r="1032" spans="1:18" x14ac:dyDescent="0.3">
      <c r="A1032" t="s">
        <v>2125</v>
      </c>
      <c r="B1032" t="s">
        <v>2126</v>
      </c>
      <c r="C1032" t="s">
        <v>41</v>
      </c>
      <c r="D1032" t="s">
        <v>32</v>
      </c>
      <c r="E1032" s="4">
        <v>43013</v>
      </c>
      <c r="F1032" t="s">
        <v>65</v>
      </c>
      <c r="G1032" t="s">
        <v>49</v>
      </c>
      <c r="H1032" t="s">
        <v>70</v>
      </c>
      <c r="I1032" t="s">
        <v>51</v>
      </c>
      <c r="J1032">
        <v>3</v>
      </c>
      <c r="K1032">
        <v>450</v>
      </c>
      <c r="L1032">
        <v>4228.71</v>
      </c>
      <c r="M1032">
        <v>42015</v>
      </c>
      <c r="N1032" t="s">
        <v>36</v>
      </c>
      <c r="O1032" t="s">
        <v>37</v>
      </c>
      <c r="P1032" t="s">
        <v>51</v>
      </c>
      <c r="Q1032">
        <v>17</v>
      </c>
      <c r="R1032">
        <v>52.88</v>
      </c>
    </row>
    <row r="1033" spans="1:18" x14ac:dyDescent="0.3">
      <c r="A1033" t="s">
        <v>2127</v>
      </c>
      <c r="B1033" t="s">
        <v>2128</v>
      </c>
      <c r="C1033" t="s">
        <v>68</v>
      </c>
      <c r="D1033" t="s">
        <v>21</v>
      </c>
      <c r="E1033" s="4">
        <v>44222</v>
      </c>
      <c r="F1033" t="s">
        <v>22</v>
      </c>
      <c r="G1033" t="s">
        <v>44</v>
      </c>
      <c r="H1033" t="s">
        <v>55</v>
      </c>
      <c r="I1033" t="s">
        <v>92</v>
      </c>
      <c r="J1033">
        <v>4</v>
      </c>
      <c r="K1033">
        <v>492</v>
      </c>
      <c r="L1033">
        <v>4540.08</v>
      </c>
      <c r="M1033">
        <v>45740</v>
      </c>
      <c r="N1033" t="s">
        <v>26</v>
      </c>
      <c r="O1033" t="s">
        <v>27</v>
      </c>
      <c r="P1033" t="s">
        <v>28</v>
      </c>
      <c r="Q1033">
        <v>29</v>
      </c>
      <c r="R1033">
        <v>186.02</v>
      </c>
    </row>
    <row r="1034" spans="1:18" x14ac:dyDescent="0.3">
      <c r="A1034" t="s">
        <v>2129</v>
      </c>
      <c r="B1034" t="s">
        <v>2130</v>
      </c>
      <c r="C1034" t="s">
        <v>68</v>
      </c>
      <c r="D1034" t="s">
        <v>59</v>
      </c>
      <c r="E1034" s="4">
        <v>42089</v>
      </c>
      <c r="F1034" t="s">
        <v>43</v>
      </c>
      <c r="G1034" t="s">
        <v>44</v>
      </c>
      <c r="H1034" t="s">
        <v>50</v>
      </c>
      <c r="I1034" t="s">
        <v>34</v>
      </c>
      <c r="J1034">
        <v>5</v>
      </c>
      <c r="K1034">
        <v>362</v>
      </c>
      <c r="L1034">
        <v>2827.36</v>
      </c>
      <c r="M1034">
        <v>33290</v>
      </c>
      <c r="N1034" t="s">
        <v>36</v>
      </c>
      <c r="O1034" t="s">
        <v>62</v>
      </c>
      <c r="P1034" t="s">
        <v>45</v>
      </c>
      <c r="Q1034">
        <v>24</v>
      </c>
      <c r="R1034">
        <v>212.76</v>
      </c>
    </row>
    <row r="1035" spans="1:18" x14ac:dyDescent="0.3">
      <c r="A1035" t="s">
        <v>2131</v>
      </c>
      <c r="B1035" t="s">
        <v>2132</v>
      </c>
      <c r="C1035" t="s">
        <v>79</v>
      </c>
      <c r="D1035" t="s">
        <v>21</v>
      </c>
      <c r="E1035" s="4">
        <v>40515</v>
      </c>
      <c r="F1035" t="s">
        <v>43</v>
      </c>
      <c r="G1035" t="s">
        <v>44</v>
      </c>
      <c r="H1035" t="s">
        <v>24</v>
      </c>
      <c r="I1035" t="s">
        <v>34</v>
      </c>
      <c r="J1035">
        <v>8</v>
      </c>
      <c r="K1035">
        <v>1061</v>
      </c>
      <c r="L1035">
        <v>4296.99</v>
      </c>
      <c r="M1035">
        <v>22168</v>
      </c>
      <c r="N1035" t="s">
        <v>36</v>
      </c>
      <c r="O1035" t="s">
        <v>27</v>
      </c>
      <c r="P1035" t="s">
        <v>45</v>
      </c>
      <c r="Q1035">
        <v>8</v>
      </c>
      <c r="R1035">
        <v>21.08</v>
      </c>
    </row>
    <row r="1036" spans="1:18" x14ac:dyDescent="0.3">
      <c r="A1036" t="s">
        <v>2133</v>
      </c>
      <c r="B1036" t="s">
        <v>2134</v>
      </c>
      <c r="C1036" t="s">
        <v>79</v>
      </c>
      <c r="D1036" t="s">
        <v>32</v>
      </c>
      <c r="E1036" s="4">
        <v>43294</v>
      </c>
      <c r="F1036" t="s">
        <v>69</v>
      </c>
      <c r="G1036" t="s">
        <v>83</v>
      </c>
      <c r="H1036" t="s">
        <v>70</v>
      </c>
      <c r="I1036" t="s">
        <v>76</v>
      </c>
      <c r="J1036">
        <v>8</v>
      </c>
      <c r="K1036">
        <v>1113</v>
      </c>
      <c r="L1036">
        <v>3325.45</v>
      </c>
      <c r="M1036">
        <v>17546</v>
      </c>
      <c r="N1036" t="s">
        <v>61</v>
      </c>
      <c r="O1036" t="s">
        <v>37</v>
      </c>
      <c r="P1036" t="s">
        <v>28</v>
      </c>
      <c r="Q1036">
        <v>44</v>
      </c>
      <c r="R1036">
        <v>153.69</v>
      </c>
    </row>
    <row r="1037" spans="1:18" x14ac:dyDescent="0.3">
      <c r="A1037" t="s">
        <v>2135</v>
      </c>
      <c r="B1037" t="s">
        <v>2136</v>
      </c>
      <c r="C1037" t="s">
        <v>31</v>
      </c>
      <c r="D1037" t="s">
        <v>82</v>
      </c>
      <c r="E1037" s="4">
        <v>44645</v>
      </c>
      <c r="F1037" t="s">
        <v>48</v>
      </c>
      <c r="G1037" t="s">
        <v>44</v>
      </c>
      <c r="H1037" t="s">
        <v>55</v>
      </c>
      <c r="I1037" t="s">
        <v>76</v>
      </c>
      <c r="J1037">
        <v>6</v>
      </c>
      <c r="K1037">
        <v>254</v>
      </c>
      <c r="L1037">
        <v>2209.96</v>
      </c>
      <c r="M1037">
        <v>7974</v>
      </c>
      <c r="N1037" t="s">
        <v>36</v>
      </c>
      <c r="O1037" t="s">
        <v>37</v>
      </c>
      <c r="P1037" t="s">
        <v>38</v>
      </c>
      <c r="Q1037">
        <v>31</v>
      </c>
      <c r="R1037">
        <v>53.26</v>
      </c>
    </row>
    <row r="1038" spans="1:18" x14ac:dyDescent="0.3">
      <c r="A1038" t="s">
        <v>2137</v>
      </c>
      <c r="B1038" t="s">
        <v>2138</v>
      </c>
      <c r="C1038" t="s">
        <v>68</v>
      </c>
      <c r="D1038" t="s">
        <v>32</v>
      </c>
      <c r="E1038" s="4">
        <v>40491</v>
      </c>
      <c r="F1038" t="s">
        <v>43</v>
      </c>
      <c r="G1038" t="s">
        <v>33</v>
      </c>
      <c r="H1038" t="s">
        <v>75</v>
      </c>
      <c r="I1038" t="s">
        <v>35</v>
      </c>
      <c r="J1038">
        <v>3</v>
      </c>
      <c r="K1038">
        <v>1442</v>
      </c>
      <c r="L1038">
        <v>3473.07</v>
      </c>
      <c r="M1038">
        <v>22371</v>
      </c>
      <c r="N1038" t="s">
        <v>61</v>
      </c>
      <c r="O1038" t="s">
        <v>56</v>
      </c>
      <c r="P1038" t="s">
        <v>38</v>
      </c>
      <c r="Q1038">
        <v>3</v>
      </c>
      <c r="R1038">
        <v>142.94</v>
      </c>
    </row>
    <row r="1039" spans="1:18" x14ac:dyDescent="0.3">
      <c r="A1039" t="s">
        <v>2139</v>
      </c>
      <c r="B1039" t="s">
        <v>2140</v>
      </c>
      <c r="C1039" t="s">
        <v>79</v>
      </c>
      <c r="D1039" t="s">
        <v>42</v>
      </c>
      <c r="E1039" s="4">
        <v>45943</v>
      </c>
      <c r="F1039" t="s">
        <v>69</v>
      </c>
      <c r="G1039" t="s">
        <v>83</v>
      </c>
      <c r="H1039" t="s">
        <v>55</v>
      </c>
      <c r="I1039" t="s">
        <v>51</v>
      </c>
      <c r="J1039">
        <v>1</v>
      </c>
      <c r="K1039">
        <v>886</v>
      </c>
      <c r="L1039">
        <v>62.94</v>
      </c>
      <c r="M1039">
        <v>28145</v>
      </c>
      <c r="N1039" t="s">
        <v>61</v>
      </c>
      <c r="O1039" t="s">
        <v>27</v>
      </c>
      <c r="P1039" t="s">
        <v>51</v>
      </c>
      <c r="Q1039">
        <v>5</v>
      </c>
      <c r="R1039">
        <v>243.55</v>
      </c>
    </row>
    <row r="1040" spans="1:18" x14ac:dyDescent="0.3">
      <c r="A1040" t="s">
        <v>2141</v>
      </c>
      <c r="B1040" t="s">
        <v>2142</v>
      </c>
      <c r="C1040" t="s">
        <v>20</v>
      </c>
      <c r="D1040" t="s">
        <v>42</v>
      </c>
      <c r="E1040" s="4">
        <v>46128</v>
      </c>
      <c r="F1040" t="s">
        <v>43</v>
      </c>
      <c r="G1040" t="s">
        <v>23</v>
      </c>
      <c r="H1040" t="s">
        <v>50</v>
      </c>
      <c r="I1040" t="s">
        <v>34</v>
      </c>
      <c r="J1040">
        <v>0</v>
      </c>
      <c r="K1040">
        <v>289</v>
      </c>
      <c r="L1040">
        <v>2763.5</v>
      </c>
      <c r="M1040">
        <v>39907</v>
      </c>
      <c r="N1040" t="s">
        <v>36</v>
      </c>
      <c r="O1040" t="s">
        <v>27</v>
      </c>
      <c r="P1040" t="s">
        <v>28</v>
      </c>
      <c r="Q1040">
        <v>16</v>
      </c>
      <c r="R1040">
        <v>202.48</v>
      </c>
    </row>
    <row r="1041" spans="1:18" x14ac:dyDescent="0.3">
      <c r="A1041" t="s">
        <v>2143</v>
      </c>
      <c r="B1041" t="s">
        <v>2144</v>
      </c>
      <c r="C1041" t="s">
        <v>31</v>
      </c>
      <c r="D1041" t="s">
        <v>42</v>
      </c>
      <c r="E1041" s="4">
        <v>40323</v>
      </c>
      <c r="F1041" t="s">
        <v>65</v>
      </c>
      <c r="G1041" t="s">
        <v>23</v>
      </c>
      <c r="H1041" t="s">
        <v>75</v>
      </c>
      <c r="I1041" t="s">
        <v>34</v>
      </c>
      <c r="J1041">
        <v>3</v>
      </c>
      <c r="K1041">
        <v>391</v>
      </c>
      <c r="L1041">
        <v>2548.9299999999998</v>
      </c>
      <c r="M1041">
        <v>40876</v>
      </c>
      <c r="N1041" t="s">
        <v>61</v>
      </c>
      <c r="O1041" t="s">
        <v>62</v>
      </c>
      <c r="P1041" t="s">
        <v>52</v>
      </c>
      <c r="Q1041">
        <v>10</v>
      </c>
      <c r="R1041">
        <v>85.09</v>
      </c>
    </row>
    <row r="1042" spans="1:18" x14ac:dyDescent="0.3">
      <c r="A1042" t="s">
        <v>2145</v>
      </c>
      <c r="B1042" t="s">
        <v>2146</v>
      </c>
      <c r="C1042" t="s">
        <v>31</v>
      </c>
      <c r="D1042" t="s">
        <v>21</v>
      </c>
      <c r="E1042" s="4">
        <v>43595</v>
      </c>
      <c r="F1042" t="s">
        <v>43</v>
      </c>
      <c r="G1042" t="s">
        <v>102</v>
      </c>
      <c r="H1042" t="s">
        <v>75</v>
      </c>
      <c r="I1042" t="s">
        <v>51</v>
      </c>
      <c r="J1042">
        <v>2</v>
      </c>
      <c r="K1042">
        <v>36</v>
      </c>
      <c r="L1042">
        <v>4984.75</v>
      </c>
      <c r="M1042">
        <v>28543</v>
      </c>
      <c r="N1042" t="s">
        <v>61</v>
      </c>
      <c r="O1042" t="s">
        <v>27</v>
      </c>
      <c r="P1042" t="s">
        <v>38</v>
      </c>
      <c r="Q1042">
        <v>24</v>
      </c>
      <c r="R1042">
        <v>127.15</v>
      </c>
    </row>
    <row r="1043" spans="1:18" x14ac:dyDescent="0.3">
      <c r="A1043" t="s">
        <v>2147</v>
      </c>
      <c r="B1043" t="s">
        <v>2148</v>
      </c>
      <c r="C1043" t="s">
        <v>79</v>
      </c>
      <c r="D1043" t="s">
        <v>59</v>
      </c>
      <c r="E1043" s="4">
        <v>42576</v>
      </c>
      <c r="F1043" t="s">
        <v>48</v>
      </c>
      <c r="G1043" t="s">
        <v>44</v>
      </c>
      <c r="H1043" t="s">
        <v>55</v>
      </c>
      <c r="I1043" t="s">
        <v>76</v>
      </c>
      <c r="J1043">
        <v>1</v>
      </c>
      <c r="K1043">
        <v>1150</v>
      </c>
      <c r="L1043">
        <v>1348.35</v>
      </c>
      <c r="M1043">
        <v>9504</v>
      </c>
      <c r="N1043" t="s">
        <v>36</v>
      </c>
      <c r="O1043" t="s">
        <v>62</v>
      </c>
      <c r="P1043" t="s">
        <v>52</v>
      </c>
      <c r="Q1043">
        <v>27</v>
      </c>
      <c r="R1043">
        <v>91</v>
      </c>
    </row>
    <row r="1044" spans="1:18" x14ac:dyDescent="0.3">
      <c r="A1044" t="s">
        <v>2149</v>
      </c>
      <c r="B1044" t="s">
        <v>2150</v>
      </c>
      <c r="C1044" t="s">
        <v>68</v>
      </c>
      <c r="D1044" t="s">
        <v>42</v>
      </c>
      <c r="E1044" s="4">
        <v>45663</v>
      </c>
      <c r="F1044" t="s">
        <v>60</v>
      </c>
      <c r="G1044" t="s">
        <v>49</v>
      </c>
      <c r="H1044" t="s">
        <v>50</v>
      </c>
      <c r="I1044" t="s">
        <v>35</v>
      </c>
      <c r="J1044">
        <v>4</v>
      </c>
      <c r="K1044">
        <v>272</v>
      </c>
      <c r="L1044">
        <v>1249.6199999999999</v>
      </c>
      <c r="M1044">
        <v>30435</v>
      </c>
      <c r="N1044" t="s">
        <v>61</v>
      </c>
      <c r="O1044" t="s">
        <v>37</v>
      </c>
      <c r="P1044" t="s">
        <v>45</v>
      </c>
      <c r="Q1044">
        <v>36</v>
      </c>
      <c r="R1044">
        <v>236.02</v>
      </c>
    </row>
    <row r="1045" spans="1:18" x14ac:dyDescent="0.3">
      <c r="A1045" t="s">
        <v>2151</v>
      </c>
      <c r="B1045" t="s">
        <v>2152</v>
      </c>
      <c r="C1045" t="s">
        <v>31</v>
      </c>
      <c r="D1045" t="s">
        <v>21</v>
      </c>
      <c r="E1045" s="4">
        <v>40213</v>
      </c>
      <c r="F1045" t="s">
        <v>69</v>
      </c>
      <c r="G1045" t="s">
        <v>102</v>
      </c>
      <c r="H1045" t="s">
        <v>75</v>
      </c>
      <c r="I1045" t="s">
        <v>34</v>
      </c>
      <c r="J1045">
        <v>5</v>
      </c>
      <c r="K1045">
        <v>1500</v>
      </c>
      <c r="L1045">
        <v>2019.08</v>
      </c>
      <c r="M1045">
        <v>15479</v>
      </c>
      <c r="N1045" t="s">
        <v>36</v>
      </c>
      <c r="O1045" t="s">
        <v>27</v>
      </c>
      <c r="P1045" t="s">
        <v>52</v>
      </c>
      <c r="Q1045">
        <v>15</v>
      </c>
      <c r="R1045">
        <v>94.04</v>
      </c>
    </row>
    <row r="1046" spans="1:18" x14ac:dyDescent="0.3">
      <c r="A1046" t="s">
        <v>2153</v>
      </c>
      <c r="B1046" t="s">
        <v>2154</v>
      </c>
      <c r="C1046" t="s">
        <v>31</v>
      </c>
      <c r="D1046" t="s">
        <v>32</v>
      </c>
      <c r="E1046" s="4">
        <v>43567</v>
      </c>
      <c r="F1046" t="s">
        <v>43</v>
      </c>
      <c r="G1046" t="s">
        <v>44</v>
      </c>
      <c r="H1046" t="s">
        <v>55</v>
      </c>
      <c r="I1046" t="s">
        <v>51</v>
      </c>
      <c r="J1046">
        <v>7</v>
      </c>
      <c r="K1046">
        <v>1160</v>
      </c>
      <c r="L1046">
        <v>753.97</v>
      </c>
      <c r="M1046">
        <v>28999</v>
      </c>
      <c r="N1046" t="s">
        <v>36</v>
      </c>
      <c r="O1046" t="s">
        <v>56</v>
      </c>
      <c r="P1046" t="s">
        <v>25</v>
      </c>
      <c r="Q1046">
        <v>26</v>
      </c>
      <c r="R1046">
        <v>1.63</v>
      </c>
    </row>
    <row r="1047" spans="1:18" x14ac:dyDescent="0.3">
      <c r="A1047" t="s">
        <v>2155</v>
      </c>
      <c r="B1047" t="s">
        <v>2156</v>
      </c>
      <c r="C1047" t="s">
        <v>31</v>
      </c>
      <c r="D1047" t="s">
        <v>32</v>
      </c>
      <c r="E1047" s="4">
        <v>43448</v>
      </c>
      <c r="F1047" t="s">
        <v>60</v>
      </c>
      <c r="G1047" t="s">
        <v>44</v>
      </c>
      <c r="H1047" t="s">
        <v>75</v>
      </c>
      <c r="I1047" t="s">
        <v>51</v>
      </c>
      <c r="J1047">
        <v>6</v>
      </c>
      <c r="K1047">
        <v>1061</v>
      </c>
      <c r="L1047">
        <v>1764.39</v>
      </c>
      <c r="M1047">
        <v>20765</v>
      </c>
      <c r="N1047" t="s">
        <v>61</v>
      </c>
      <c r="O1047" t="s">
        <v>56</v>
      </c>
      <c r="P1047" t="s">
        <v>38</v>
      </c>
      <c r="Q1047">
        <v>39</v>
      </c>
      <c r="R1047">
        <v>172.94</v>
      </c>
    </row>
    <row r="1048" spans="1:18" x14ac:dyDescent="0.3">
      <c r="A1048" t="s">
        <v>2157</v>
      </c>
      <c r="B1048" t="s">
        <v>2158</v>
      </c>
      <c r="C1048" t="s">
        <v>31</v>
      </c>
      <c r="D1048" t="s">
        <v>59</v>
      </c>
      <c r="E1048" s="4">
        <v>40687</v>
      </c>
      <c r="F1048" t="s">
        <v>22</v>
      </c>
      <c r="G1048" t="s">
        <v>83</v>
      </c>
      <c r="H1048" t="s">
        <v>50</v>
      </c>
      <c r="I1048" t="s">
        <v>76</v>
      </c>
      <c r="J1048">
        <v>7</v>
      </c>
      <c r="K1048">
        <v>1159</v>
      </c>
      <c r="L1048">
        <v>2704.17</v>
      </c>
      <c r="M1048">
        <v>36447</v>
      </c>
      <c r="N1048" t="s">
        <v>26</v>
      </c>
      <c r="O1048" t="s">
        <v>56</v>
      </c>
      <c r="P1048" t="s">
        <v>45</v>
      </c>
      <c r="Q1048">
        <v>39</v>
      </c>
      <c r="R1048">
        <v>87.95</v>
      </c>
    </row>
    <row r="1049" spans="1:18" x14ac:dyDescent="0.3">
      <c r="A1049" t="s">
        <v>2159</v>
      </c>
      <c r="B1049" t="s">
        <v>2160</v>
      </c>
      <c r="C1049" t="s">
        <v>41</v>
      </c>
      <c r="D1049" t="s">
        <v>32</v>
      </c>
      <c r="E1049" s="4">
        <v>43754</v>
      </c>
      <c r="F1049" t="s">
        <v>48</v>
      </c>
      <c r="G1049" t="s">
        <v>102</v>
      </c>
      <c r="H1049" t="s">
        <v>70</v>
      </c>
      <c r="I1049" t="s">
        <v>34</v>
      </c>
      <c r="J1049">
        <v>5</v>
      </c>
      <c r="K1049">
        <v>761</v>
      </c>
      <c r="L1049">
        <v>211.11</v>
      </c>
      <c r="M1049">
        <v>32349</v>
      </c>
      <c r="N1049" t="s">
        <v>61</v>
      </c>
      <c r="O1049" t="s">
        <v>37</v>
      </c>
      <c r="P1049" t="s">
        <v>25</v>
      </c>
      <c r="Q1049">
        <v>23</v>
      </c>
      <c r="R1049">
        <v>1.59</v>
      </c>
    </row>
    <row r="1050" spans="1:18" x14ac:dyDescent="0.3">
      <c r="A1050" t="s">
        <v>2161</v>
      </c>
      <c r="B1050" t="s">
        <v>2162</v>
      </c>
      <c r="C1050" t="s">
        <v>20</v>
      </c>
      <c r="D1050" t="s">
        <v>42</v>
      </c>
      <c r="E1050" s="4">
        <v>40207</v>
      </c>
      <c r="F1050" t="s">
        <v>69</v>
      </c>
      <c r="G1050" t="s">
        <v>44</v>
      </c>
      <c r="H1050" t="s">
        <v>75</v>
      </c>
      <c r="I1050" t="s">
        <v>35</v>
      </c>
      <c r="J1050">
        <v>8</v>
      </c>
      <c r="K1050">
        <v>46</v>
      </c>
      <c r="L1050">
        <v>3523.53</v>
      </c>
      <c r="M1050">
        <v>45529</v>
      </c>
      <c r="N1050" t="s">
        <v>36</v>
      </c>
      <c r="O1050" t="s">
        <v>56</v>
      </c>
      <c r="P1050" t="s">
        <v>51</v>
      </c>
      <c r="Q1050">
        <v>23</v>
      </c>
      <c r="R1050">
        <v>3.23</v>
      </c>
    </row>
    <row r="1051" spans="1:18" x14ac:dyDescent="0.3">
      <c r="A1051" t="s">
        <v>2163</v>
      </c>
      <c r="B1051" t="s">
        <v>2164</v>
      </c>
      <c r="C1051" t="s">
        <v>97</v>
      </c>
      <c r="D1051" t="s">
        <v>109</v>
      </c>
      <c r="E1051" s="4">
        <v>40509</v>
      </c>
      <c r="F1051" t="s">
        <v>22</v>
      </c>
      <c r="G1051" t="s">
        <v>33</v>
      </c>
      <c r="H1051" t="s">
        <v>34</v>
      </c>
      <c r="I1051" t="s">
        <v>51</v>
      </c>
      <c r="J1051">
        <v>8</v>
      </c>
      <c r="K1051">
        <v>499</v>
      </c>
      <c r="L1051">
        <v>2216.0100000000002</v>
      </c>
      <c r="M1051">
        <v>36458</v>
      </c>
      <c r="N1051" t="s">
        <v>36</v>
      </c>
      <c r="O1051" t="s">
        <v>56</v>
      </c>
      <c r="P1051" t="s">
        <v>25</v>
      </c>
      <c r="Q1051">
        <v>45</v>
      </c>
      <c r="R1051">
        <v>210.19</v>
      </c>
    </row>
    <row r="1052" spans="1:18" x14ac:dyDescent="0.3">
      <c r="A1052" t="s">
        <v>2165</v>
      </c>
      <c r="B1052" t="s">
        <v>2166</v>
      </c>
      <c r="C1052" t="s">
        <v>97</v>
      </c>
      <c r="D1052" t="s">
        <v>32</v>
      </c>
      <c r="E1052" s="4">
        <v>45282</v>
      </c>
      <c r="F1052" t="s">
        <v>48</v>
      </c>
      <c r="G1052" t="s">
        <v>102</v>
      </c>
      <c r="H1052" t="s">
        <v>70</v>
      </c>
      <c r="I1052" t="s">
        <v>51</v>
      </c>
      <c r="J1052">
        <v>0</v>
      </c>
      <c r="K1052">
        <v>133</v>
      </c>
      <c r="L1052">
        <v>517.98</v>
      </c>
      <c r="M1052">
        <v>3731</v>
      </c>
      <c r="N1052" t="s">
        <v>36</v>
      </c>
      <c r="O1052" t="s">
        <v>27</v>
      </c>
      <c r="P1052" t="s">
        <v>38</v>
      </c>
      <c r="Q1052">
        <v>36</v>
      </c>
      <c r="R1052">
        <v>79.95</v>
      </c>
    </row>
    <row r="1053" spans="1:18" x14ac:dyDescent="0.3">
      <c r="A1053" t="s">
        <v>2167</v>
      </c>
      <c r="B1053" t="s">
        <v>2168</v>
      </c>
      <c r="C1053" t="s">
        <v>41</v>
      </c>
      <c r="D1053" t="s">
        <v>42</v>
      </c>
      <c r="E1053" s="4">
        <v>42911</v>
      </c>
      <c r="F1053" t="s">
        <v>60</v>
      </c>
      <c r="G1053" t="s">
        <v>44</v>
      </c>
      <c r="H1053" t="s">
        <v>75</v>
      </c>
      <c r="I1053" t="s">
        <v>35</v>
      </c>
      <c r="J1053">
        <v>3</v>
      </c>
      <c r="K1053">
        <v>1264</v>
      </c>
      <c r="L1053">
        <v>1543.09</v>
      </c>
      <c r="M1053">
        <v>8974</v>
      </c>
      <c r="N1053" t="s">
        <v>36</v>
      </c>
      <c r="O1053" t="s">
        <v>27</v>
      </c>
      <c r="P1053" t="s">
        <v>45</v>
      </c>
      <c r="Q1053">
        <v>23</v>
      </c>
      <c r="R1053">
        <v>141.15</v>
      </c>
    </row>
    <row r="1054" spans="1:18" x14ac:dyDescent="0.3">
      <c r="A1054" t="s">
        <v>2169</v>
      </c>
      <c r="B1054" t="s">
        <v>2170</v>
      </c>
      <c r="C1054" t="s">
        <v>20</v>
      </c>
      <c r="D1054" t="s">
        <v>82</v>
      </c>
      <c r="E1054" s="4">
        <v>40337</v>
      </c>
      <c r="F1054" t="s">
        <v>48</v>
      </c>
      <c r="G1054" t="s">
        <v>102</v>
      </c>
      <c r="H1054" t="s">
        <v>75</v>
      </c>
      <c r="I1054" t="s">
        <v>35</v>
      </c>
      <c r="J1054">
        <v>1</v>
      </c>
      <c r="K1054">
        <v>172</v>
      </c>
      <c r="L1054">
        <v>321.35000000000002</v>
      </c>
      <c r="M1054">
        <v>4105</v>
      </c>
      <c r="N1054" t="s">
        <v>61</v>
      </c>
      <c r="O1054" t="s">
        <v>56</v>
      </c>
      <c r="P1054" t="s">
        <v>25</v>
      </c>
      <c r="Q1054">
        <v>23</v>
      </c>
      <c r="R1054">
        <v>162.09</v>
      </c>
    </row>
    <row r="1055" spans="1:18" x14ac:dyDescent="0.3">
      <c r="A1055" t="s">
        <v>2171</v>
      </c>
      <c r="B1055" t="s">
        <v>2172</v>
      </c>
      <c r="C1055" t="s">
        <v>116</v>
      </c>
      <c r="D1055" t="s">
        <v>82</v>
      </c>
      <c r="E1055" s="4">
        <v>45094</v>
      </c>
      <c r="F1055" t="s">
        <v>60</v>
      </c>
      <c r="G1055" t="s">
        <v>23</v>
      </c>
      <c r="H1055" t="s">
        <v>75</v>
      </c>
      <c r="I1055" t="s">
        <v>34</v>
      </c>
      <c r="J1055">
        <v>3</v>
      </c>
      <c r="K1055">
        <v>854</v>
      </c>
      <c r="L1055">
        <v>2588.7800000000002</v>
      </c>
      <c r="M1055">
        <v>24940</v>
      </c>
      <c r="N1055" t="s">
        <v>26</v>
      </c>
      <c r="O1055" t="s">
        <v>56</v>
      </c>
      <c r="P1055" t="s">
        <v>52</v>
      </c>
      <c r="Q1055">
        <v>23</v>
      </c>
      <c r="R1055">
        <v>46.64</v>
      </c>
    </row>
    <row r="1056" spans="1:18" x14ac:dyDescent="0.3">
      <c r="A1056" t="s">
        <v>2173</v>
      </c>
      <c r="B1056" t="s">
        <v>2174</v>
      </c>
      <c r="C1056" t="s">
        <v>97</v>
      </c>
      <c r="D1056" t="s">
        <v>109</v>
      </c>
      <c r="E1056" s="4">
        <v>42491</v>
      </c>
      <c r="F1056" t="s">
        <v>65</v>
      </c>
      <c r="G1056" t="s">
        <v>44</v>
      </c>
      <c r="H1056" t="s">
        <v>34</v>
      </c>
      <c r="I1056" t="s">
        <v>92</v>
      </c>
      <c r="J1056">
        <v>6</v>
      </c>
      <c r="K1056">
        <v>66</v>
      </c>
      <c r="L1056">
        <v>3676.47</v>
      </c>
      <c r="M1056">
        <v>13019</v>
      </c>
      <c r="N1056" t="s">
        <v>36</v>
      </c>
      <c r="O1056" t="s">
        <v>27</v>
      </c>
      <c r="P1056" t="s">
        <v>38</v>
      </c>
      <c r="Q1056">
        <v>48</v>
      </c>
      <c r="R1056">
        <v>154.29</v>
      </c>
    </row>
    <row r="1057" spans="1:18" x14ac:dyDescent="0.3">
      <c r="A1057" t="s">
        <v>2175</v>
      </c>
      <c r="B1057" t="s">
        <v>2176</v>
      </c>
      <c r="C1057" t="s">
        <v>31</v>
      </c>
      <c r="D1057" t="s">
        <v>21</v>
      </c>
      <c r="E1057" s="4">
        <v>45480</v>
      </c>
      <c r="F1057" t="s">
        <v>65</v>
      </c>
      <c r="G1057" t="s">
        <v>33</v>
      </c>
      <c r="H1057" t="s">
        <v>34</v>
      </c>
      <c r="I1057" t="s">
        <v>92</v>
      </c>
      <c r="J1057">
        <v>4</v>
      </c>
      <c r="K1057">
        <v>98</v>
      </c>
      <c r="L1057">
        <v>3755.58</v>
      </c>
      <c r="M1057">
        <v>29311</v>
      </c>
      <c r="N1057" t="s">
        <v>61</v>
      </c>
      <c r="O1057" t="s">
        <v>27</v>
      </c>
      <c r="P1057" t="s">
        <v>28</v>
      </c>
      <c r="Q1057">
        <v>5</v>
      </c>
      <c r="R1057">
        <v>40.76</v>
      </c>
    </row>
    <row r="1058" spans="1:18" x14ac:dyDescent="0.3">
      <c r="A1058" t="s">
        <v>2177</v>
      </c>
      <c r="B1058" t="s">
        <v>2178</v>
      </c>
      <c r="C1058" t="s">
        <v>97</v>
      </c>
      <c r="D1058" t="s">
        <v>32</v>
      </c>
      <c r="E1058" s="4">
        <v>45199</v>
      </c>
      <c r="F1058" t="s">
        <v>60</v>
      </c>
      <c r="G1058" t="s">
        <v>44</v>
      </c>
      <c r="H1058" t="s">
        <v>70</v>
      </c>
      <c r="I1058" t="s">
        <v>35</v>
      </c>
      <c r="J1058">
        <v>0</v>
      </c>
      <c r="K1058">
        <v>578</v>
      </c>
      <c r="L1058">
        <v>622.55999999999995</v>
      </c>
      <c r="M1058">
        <v>46653</v>
      </c>
      <c r="N1058" t="s">
        <v>61</v>
      </c>
      <c r="O1058" t="s">
        <v>27</v>
      </c>
      <c r="P1058" t="s">
        <v>51</v>
      </c>
      <c r="Q1058">
        <v>8</v>
      </c>
      <c r="R1058">
        <v>235.02</v>
      </c>
    </row>
    <row r="1059" spans="1:18" x14ac:dyDescent="0.3">
      <c r="A1059" t="s">
        <v>2179</v>
      </c>
      <c r="B1059" t="s">
        <v>2180</v>
      </c>
      <c r="C1059" t="s">
        <v>79</v>
      </c>
      <c r="D1059" t="s">
        <v>42</v>
      </c>
      <c r="E1059" s="4">
        <v>44761</v>
      </c>
      <c r="F1059" t="s">
        <v>48</v>
      </c>
      <c r="G1059" t="s">
        <v>83</v>
      </c>
      <c r="H1059" t="s">
        <v>24</v>
      </c>
      <c r="I1059" t="s">
        <v>34</v>
      </c>
      <c r="J1059">
        <v>8</v>
      </c>
      <c r="K1059">
        <v>987</v>
      </c>
      <c r="L1059">
        <v>3174.73</v>
      </c>
      <c r="M1059">
        <v>18630</v>
      </c>
      <c r="N1059" t="s">
        <v>36</v>
      </c>
      <c r="O1059" t="s">
        <v>37</v>
      </c>
      <c r="P1059" t="s">
        <v>51</v>
      </c>
      <c r="Q1059">
        <v>13</v>
      </c>
      <c r="R1059">
        <v>11.29</v>
      </c>
    </row>
    <row r="1060" spans="1:18" x14ac:dyDescent="0.3">
      <c r="A1060" t="s">
        <v>2181</v>
      </c>
      <c r="B1060" t="s">
        <v>2182</v>
      </c>
      <c r="C1060" t="s">
        <v>31</v>
      </c>
      <c r="D1060" t="s">
        <v>82</v>
      </c>
      <c r="E1060" s="4">
        <v>44464</v>
      </c>
      <c r="F1060" t="s">
        <v>43</v>
      </c>
      <c r="G1060" t="s">
        <v>83</v>
      </c>
      <c r="H1060" t="s">
        <v>50</v>
      </c>
      <c r="I1060" t="s">
        <v>92</v>
      </c>
      <c r="J1060">
        <v>5</v>
      </c>
      <c r="K1060">
        <v>439</v>
      </c>
      <c r="L1060">
        <v>897.6</v>
      </c>
      <c r="M1060">
        <v>35320</v>
      </c>
      <c r="N1060" t="s">
        <v>36</v>
      </c>
      <c r="O1060" t="s">
        <v>62</v>
      </c>
      <c r="P1060" t="s">
        <v>51</v>
      </c>
      <c r="Q1060">
        <v>6</v>
      </c>
      <c r="R1060">
        <v>52.41</v>
      </c>
    </row>
    <row r="1061" spans="1:18" x14ac:dyDescent="0.3">
      <c r="A1061" t="s">
        <v>2183</v>
      </c>
      <c r="B1061" t="s">
        <v>2184</v>
      </c>
      <c r="C1061" t="s">
        <v>31</v>
      </c>
      <c r="D1061" t="s">
        <v>42</v>
      </c>
      <c r="E1061" s="4">
        <v>43299</v>
      </c>
      <c r="F1061" t="s">
        <v>43</v>
      </c>
      <c r="G1061" t="s">
        <v>23</v>
      </c>
      <c r="H1061" t="s">
        <v>34</v>
      </c>
      <c r="I1061" t="s">
        <v>76</v>
      </c>
      <c r="J1061">
        <v>7</v>
      </c>
      <c r="K1061">
        <v>693</v>
      </c>
      <c r="L1061">
        <v>2877.51</v>
      </c>
      <c r="M1061">
        <v>8553</v>
      </c>
      <c r="N1061" t="s">
        <v>61</v>
      </c>
      <c r="O1061" t="s">
        <v>27</v>
      </c>
      <c r="P1061" t="s">
        <v>28</v>
      </c>
      <c r="Q1061">
        <v>34</v>
      </c>
      <c r="R1061">
        <v>147.25</v>
      </c>
    </row>
    <row r="1062" spans="1:18" x14ac:dyDescent="0.3">
      <c r="A1062" t="s">
        <v>2185</v>
      </c>
      <c r="B1062" t="s">
        <v>2186</v>
      </c>
      <c r="C1062" t="s">
        <v>41</v>
      </c>
      <c r="D1062" t="s">
        <v>109</v>
      </c>
      <c r="E1062" s="4">
        <v>44394</v>
      </c>
      <c r="F1062" t="s">
        <v>22</v>
      </c>
      <c r="G1062" t="s">
        <v>102</v>
      </c>
      <c r="H1062" t="s">
        <v>70</v>
      </c>
      <c r="I1062" t="s">
        <v>51</v>
      </c>
      <c r="J1062">
        <v>2</v>
      </c>
      <c r="K1062">
        <v>209</v>
      </c>
      <c r="L1062">
        <v>4409.08</v>
      </c>
      <c r="M1062">
        <v>3692</v>
      </c>
      <c r="N1062" t="s">
        <v>26</v>
      </c>
      <c r="O1062" t="s">
        <v>27</v>
      </c>
      <c r="P1062" t="s">
        <v>51</v>
      </c>
      <c r="Q1062">
        <v>31</v>
      </c>
      <c r="R1062">
        <v>4.28</v>
      </c>
    </row>
    <row r="1063" spans="1:18" x14ac:dyDescent="0.3">
      <c r="A1063" t="s">
        <v>2187</v>
      </c>
      <c r="B1063" t="s">
        <v>2188</v>
      </c>
      <c r="C1063" t="s">
        <v>97</v>
      </c>
      <c r="D1063" t="s">
        <v>82</v>
      </c>
      <c r="E1063" s="4">
        <v>40195</v>
      </c>
      <c r="F1063" t="s">
        <v>22</v>
      </c>
      <c r="G1063" t="s">
        <v>33</v>
      </c>
      <c r="H1063" t="s">
        <v>50</v>
      </c>
      <c r="I1063" t="s">
        <v>51</v>
      </c>
      <c r="J1063">
        <v>3</v>
      </c>
      <c r="K1063">
        <v>1371</v>
      </c>
      <c r="L1063">
        <v>3438</v>
      </c>
      <c r="M1063">
        <v>44343</v>
      </c>
      <c r="N1063" t="s">
        <v>36</v>
      </c>
      <c r="O1063" t="s">
        <v>62</v>
      </c>
      <c r="P1063" t="s">
        <v>38</v>
      </c>
      <c r="Q1063">
        <v>41</v>
      </c>
      <c r="R1063">
        <v>109.85</v>
      </c>
    </row>
    <row r="1064" spans="1:18" x14ac:dyDescent="0.3">
      <c r="A1064" t="s">
        <v>2189</v>
      </c>
      <c r="B1064" t="s">
        <v>2190</v>
      </c>
      <c r="C1064" t="s">
        <v>116</v>
      </c>
      <c r="D1064" t="s">
        <v>21</v>
      </c>
      <c r="E1064" s="4">
        <v>40660</v>
      </c>
      <c r="F1064" t="s">
        <v>22</v>
      </c>
      <c r="G1064" t="s">
        <v>23</v>
      </c>
      <c r="H1064" t="s">
        <v>70</v>
      </c>
      <c r="I1064" t="s">
        <v>25</v>
      </c>
      <c r="J1064">
        <v>8</v>
      </c>
      <c r="K1064">
        <v>81</v>
      </c>
      <c r="L1064">
        <v>2566.4699999999998</v>
      </c>
      <c r="M1064">
        <v>11074</v>
      </c>
      <c r="N1064" t="s">
        <v>61</v>
      </c>
      <c r="O1064" t="s">
        <v>27</v>
      </c>
      <c r="P1064" t="s">
        <v>25</v>
      </c>
      <c r="Q1064">
        <v>40</v>
      </c>
      <c r="R1064">
        <v>31.34</v>
      </c>
    </row>
    <row r="1065" spans="1:18" x14ac:dyDescent="0.3">
      <c r="A1065" t="s">
        <v>2191</v>
      </c>
      <c r="B1065" t="s">
        <v>2192</v>
      </c>
      <c r="C1065" t="s">
        <v>20</v>
      </c>
      <c r="D1065" t="s">
        <v>42</v>
      </c>
      <c r="E1065" s="4">
        <v>44661</v>
      </c>
      <c r="F1065" t="s">
        <v>65</v>
      </c>
      <c r="G1065" t="s">
        <v>83</v>
      </c>
      <c r="H1065" t="s">
        <v>55</v>
      </c>
      <c r="I1065" t="s">
        <v>51</v>
      </c>
      <c r="J1065">
        <v>2</v>
      </c>
      <c r="K1065">
        <v>16</v>
      </c>
      <c r="L1065">
        <v>2594.71</v>
      </c>
      <c r="M1065">
        <v>4093</v>
      </c>
      <c r="N1065" t="s">
        <v>36</v>
      </c>
      <c r="O1065" t="s">
        <v>27</v>
      </c>
      <c r="P1065" t="s">
        <v>51</v>
      </c>
      <c r="Q1065">
        <v>2</v>
      </c>
      <c r="R1065">
        <v>32.9</v>
      </c>
    </row>
    <row r="1066" spans="1:18" x14ac:dyDescent="0.3">
      <c r="A1066" t="s">
        <v>2193</v>
      </c>
      <c r="B1066" t="s">
        <v>2194</v>
      </c>
      <c r="C1066" t="s">
        <v>31</v>
      </c>
      <c r="D1066" t="s">
        <v>59</v>
      </c>
      <c r="E1066" s="4">
        <v>42007</v>
      </c>
      <c r="F1066" t="s">
        <v>43</v>
      </c>
      <c r="G1066" t="s">
        <v>44</v>
      </c>
      <c r="H1066" t="s">
        <v>24</v>
      </c>
      <c r="I1066" t="s">
        <v>76</v>
      </c>
      <c r="J1066">
        <v>3</v>
      </c>
      <c r="K1066">
        <v>744</v>
      </c>
      <c r="L1066">
        <v>3258.02</v>
      </c>
      <c r="M1066">
        <v>39789</v>
      </c>
      <c r="N1066" t="s">
        <v>26</v>
      </c>
      <c r="O1066" t="s">
        <v>62</v>
      </c>
      <c r="P1066" t="s">
        <v>28</v>
      </c>
      <c r="Q1066">
        <v>46</v>
      </c>
      <c r="R1066">
        <v>142.63</v>
      </c>
    </row>
    <row r="1067" spans="1:18" x14ac:dyDescent="0.3">
      <c r="A1067" t="s">
        <v>2195</v>
      </c>
      <c r="B1067" t="s">
        <v>2196</v>
      </c>
      <c r="C1067" t="s">
        <v>68</v>
      </c>
      <c r="D1067" t="s">
        <v>59</v>
      </c>
      <c r="E1067" s="4">
        <v>42900</v>
      </c>
      <c r="F1067" t="s">
        <v>22</v>
      </c>
      <c r="G1067" t="s">
        <v>33</v>
      </c>
      <c r="H1067" t="s">
        <v>50</v>
      </c>
      <c r="I1067" t="s">
        <v>34</v>
      </c>
      <c r="J1067">
        <v>0</v>
      </c>
      <c r="K1067">
        <v>1272</v>
      </c>
      <c r="L1067">
        <v>646.23</v>
      </c>
      <c r="M1067">
        <v>21106</v>
      </c>
      <c r="N1067" t="s">
        <v>61</v>
      </c>
      <c r="O1067" t="s">
        <v>56</v>
      </c>
      <c r="P1067" t="s">
        <v>28</v>
      </c>
      <c r="Q1067">
        <v>7</v>
      </c>
      <c r="R1067">
        <v>244.77</v>
      </c>
    </row>
    <row r="1068" spans="1:18" x14ac:dyDescent="0.3">
      <c r="A1068" t="s">
        <v>2197</v>
      </c>
      <c r="B1068" t="s">
        <v>2198</v>
      </c>
      <c r="C1068" t="s">
        <v>68</v>
      </c>
      <c r="D1068" t="s">
        <v>21</v>
      </c>
      <c r="E1068" s="4">
        <v>45902</v>
      </c>
      <c r="F1068" t="s">
        <v>69</v>
      </c>
      <c r="G1068" t="s">
        <v>83</v>
      </c>
      <c r="H1068" t="s">
        <v>34</v>
      </c>
      <c r="I1068" t="s">
        <v>76</v>
      </c>
      <c r="J1068">
        <v>6</v>
      </c>
      <c r="K1068">
        <v>653</v>
      </c>
      <c r="L1068">
        <v>1426.35</v>
      </c>
      <c r="M1068">
        <v>28003</v>
      </c>
      <c r="N1068" t="s">
        <v>36</v>
      </c>
      <c r="O1068" t="s">
        <v>62</v>
      </c>
      <c r="P1068" t="s">
        <v>28</v>
      </c>
      <c r="Q1068">
        <v>16</v>
      </c>
      <c r="R1068">
        <v>98.43</v>
      </c>
    </row>
    <row r="1069" spans="1:18" x14ac:dyDescent="0.3">
      <c r="A1069" t="s">
        <v>2199</v>
      </c>
      <c r="B1069" t="s">
        <v>2200</v>
      </c>
      <c r="C1069" t="s">
        <v>68</v>
      </c>
      <c r="D1069" t="s">
        <v>109</v>
      </c>
      <c r="E1069" s="4">
        <v>42785</v>
      </c>
      <c r="F1069" t="s">
        <v>65</v>
      </c>
      <c r="G1069" t="s">
        <v>83</v>
      </c>
      <c r="H1069" t="s">
        <v>55</v>
      </c>
      <c r="I1069" t="s">
        <v>25</v>
      </c>
      <c r="J1069">
        <v>4</v>
      </c>
      <c r="K1069">
        <v>183</v>
      </c>
      <c r="L1069">
        <v>2457.5700000000002</v>
      </c>
      <c r="M1069">
        <v>31643</v>
      </c>
      <c r="N1069" t="s">
        <v>61</v>
      </c>
      <c r="O1069" t="s">
        <v>62</v>
      </c>
      <c r="P1069" t="s">
        <v>25</v>
      </c>
      <c r="Q1069">
        <v>3</v>
      </c>
      <c r="R1069">
        <v>34.770000000000003</v>
      </c>
    </row>
    <row r="1070" spans="1:18" x14ac:dyDescent="0.3">
      <c r="A1070" t="s">
        <v>2201</v>
      </c>
      <c r="B1070" t="s">
        <v>2202</v>
      </c>
      <c r="C1070" t="s">
        <v>41</v>
      </c>
      <c r="D1070" t="s">
        <v>32</v>
      </c>
      <c r="E1070" s="4">
        <v>44085</v>
      </c>
      <c r="F1070" t="s">
        <v>48</v>
      </c>
      <c r="G1070" t="s">
        <v>49</v>
      </c>
      <c r="H1070" t="s">
        <v>70</v>
      </c>
      <c r="I1070" t="s">
        <v>35</v>
      </c>
      <c r="J1070">
        <v>5</v>
      </c>
      <c r="K1070">
        <v>985</v>
      </c>
      <c r="L1070">
        <v>1905.82</v>
      </c>
      <c r="M1070">
        <v>45960</v>
      </c>
      <c r="N1070" t="s">
        <v>26</v>
      </c>
      <c r="O1070" t="s">
        <v>37</v>
      </c>
      <c r="P1070" t="s">
        <v>38</v>
      </c>
      <c r="Q1070">
        <v>2</v>
      </c>
      <c r="R1070">
        <v>124.55</v>
      </c>
    </row>
    <row r="1071" spans="1:18" x14ac:dyDescent="0.3">
      <c r="A1071" t="s">
        <v>2203</v>
      </c>
      <c r="B1071" t="s">
        <v>2204</v>
      </c>
      <c r="C1071" t="s">
        <v>116</v>
      </c>
      <c r="D1071" t="s">
        <v>109</v>
      </c>
      <c r="E1071" s="4">
        <v>44038</v>
      </c>
      <c r="F1071" t="s">
        <v>43</v>
      </c>
      <c r="G1071" t="s">
        <v>23</v>
      </c>
      <c r="H1071" t="s">
        <v>24</v>
      </c>
      <c r="I1071" t="s">
        <v>92</v>
      </c>
      <c r="J1071">
        <v>1</v>
      </c>
      <c r="K1071">
        <v>473</v>
      </c>
      <c r="L1071">
        <v>688.01</v>
      </c>
      <c r="M1071">
        <v>4746</v>
      </c>
      <c r="N1071" t="s">
        <v>36</v>
      </c>
      <c r="O1071" t="s">
        <v>62</v>
      </c>
      <c r="P1071" t="s">
        <v>38</v>
      </c>
      <c r="Q1071">
        <v>4</v>
      </c>
      <c r="R1071">
        <v>162.46</v>
      </c>
    </row>
    <row r="1072" spans="1:18" x14ac:dyDescent="0.3">
      <c r="A1072" t="s">
        <v>2205</v>
      </c>
      <c r="B1072" t="s">
        <v>2206</v>
      </c>
      <c r="C1072" t="s">
        <v>79</v>
      </c>
      <c r="D1072" t="s">
        <v>42</v>
      </c>
      <c r="E1072" s="4">
        <v>42342</v>
      </c>
      <c r="F1072" t="s">
        <v>60</v>
      </c>
      <c r="G1072" t="s">
        <v>102</v>
      </c>
      <c r="H1072" t="s">
        <v>50</v>
      </c>
      <c r="I1072" t="s">
        <v>35</v>
      </c>
      <c r="J1072">
        <v>2</v>
      </c>
      <c r="K1072">
        <v>434</v>
      </c>
      <c r="L1072">
        <v>3493.82</v>
      </c>
      <c r="M1072">
        <v>38314</v>
      </c>
      <c r="N1072" t="s">
        <v>26</v>
      </c>
      <c r="O1072" t="s">
        <v>56</v>
      </c>
      <c r="P1072" t="s">
        <v>51</v>
      </c>
      <c r="Q1072">
        <v>39</v>
      </c>
      <c r="R1072">
        <v>188.08</v>
      </c>
    </row>
    <row r="1073" spans="1:18" x14ac:dyDescent="0.3">
      <c r="A1073" t="s">
        <v>2207</v>
      </c>
      <c r="B1073" t="s">
        <v>2208</v>
      </c>
      <c r="C1073" t="s">
        <v>20</v>
      </c>
      <c r="D1073" t="s">
        <v>42</v>
      </c>
      <c r="E1073" s="4">
        <v>45155</v>
      </c>
      <c r="F1073" t="s">
        <v>22</v>
      </c>
      <c r="G1073" t="s">
        <v>33</v>
      </c>
      <c r="H1073" t="s">
        <v>75</v>
      </c>
      <c r="I1073" t="s">
        <v>92</v>
      </c>
      <c r="J1073">
        <v>4</v>
      </c>
      <c r="K1073">
        <v>70</v>
      </c>
      <c r="L1073">
        <v>119.09</v>
      </c>
      <c r="M1073">
        <v>47903</v>
      </c>
      <c r="N1073" t="s">
        <v>26</v>
      </c>
      <c r="O1073" t="s">
        <v>37</v>
      </c>
      <c r="P1073" t="s">
        <v>38</v>
      </c>
      <c r="Q1073">
        <v>46</v>
      </c>
      <c r="R1073">
        <v>39.21</v>
      </c>
    </row>
    <row r="1074" spans="1:18" x14ac:dyDescent="0.3">
      <c r="A1074" t="s">
        <v>2209</v>
      </c>
      <c r="B1074" t="s">
        <v>2210</v>
      </c>
      <c r="C1074" t="s">
        <v>116</v>
      </c>
      <c r="D1074" t="s">
        <v>59</v>
      </c>
      <c r="E1074" s="4">
        <v>42306</v>
      </c>
      <c r="F1074" t="s">
        <v>48</v>
      </c>
      <c r="G1074" t="s">
        <v>83</v>
      </c>
      <c r="H1074" t="s">
        <v>50</v>
      </c>
      <c r="I1074" t="s">
        <v>35</v>
      </c>
      <c r="J1074">
        <v>8</v>
      </c>
      <c r="K1074">
        <v>953</v>
      </c>
      <c r="L1074">
        <v>2899.44</v>
      </c>
      <c r="M1074">
        <v>21757</v>
      </c>
      <c r="N1074" t="s">
        <v>36</v>
      </c>
      <c r="O1074" t="s">
        <v>62</v>
      </c>
      <c r="P1074" t="s">
        <v>38</v>
      </c>
      <c r="Q1074">
        <v>9</v>
      </c>
      <c r="R1074">
        <v>8.4600000000000009</v>
      </c>
    </row>
    <row r="1075" spans="1:18" x14ac:dyDescent="0.3">
      <c r="A1075" t="s">
        <v>2211</v>
      </c>
      <c r="B1075" t="s">
        <v>2212</v>
      </c>
      <c r="C1075" t="s">
        <v>68</v>
      </c>
      <c r="D1075" t="s">
        <v>32</v>
      </c>
      <c r="E1075" s="4">
        <v>41881</v>
      </c>
      <c r="F1075" t="s">
        <v>43</v>
      </c>
      <c r="G1075" t="s">
        <v>83</v>
      </c>
      <c r="H1075" t="s">
        <v>50</v>
      </c>
      <c r="I1075" t="s">
        <v>35</v>
      </c>
      <c r="J1075">
        <v>1</v>
      </c>
      <c r="K1075">
        <v>80</v>
      </c>
      <c r="L1075">
        <v>4494.22</v>
      </c>
      <c r="M1075">
        <v>3461</v>
      </c>
      <c r="N1075" t="s">
        <v>61</v>
      </c>
      <c r="O1075" t="s">
        <v>56</v>
      </c>
      <c r="P1075" t="s">
        <v>38</v>
      </c>
      <c r="Q1075">
        <v>29</v>
      </c>
      <c r="R1075">
        <v>38.14</v>
      </c>
    </row>
    <row r="1076" spans="1:18" x14ac:dyDescent="0.3">
      <c r="A1076" t="s">
        <v>2213</v>
      </c>
      <c r="B1076" t="s">
        <v>2214</v>
      </c>
      <c r="C1076" t="s">
        <v>20</v>
      </c>
      <c r="D1076" t="s">
        <v>109</v>
      </c>
      <c r="E1076" s="4">
        <v>44152</v>
      </c>
      <c r="F1076" t="s">
        <v>60</v>
      </c>
      <c r="G1076" t="s">
        <v>49</v>
      </c>
      <c r="H1076" t="s">
        <v>70</v>
      </c>
      <c r="I1076" t="s">
        <v>92</v>
      </c>
      <c r="J1076">
        <v>7</v>
      </c>
      <c r="K1076">
        <v>556</v>
      </c>
      <c r="L1076">
        <v>4909.32</v>
      </c>
      <c r="M1076">
        <v>34532</v>
      </c>
      <c r="N1076" t="s">
        <v>36</v>
      </c>
      <c r="O1076" t="s">
        <v>27</v>
      </c>
      <c r="P1076" t="s">
        <v>51</v>
      </c>
      <c r="Q1076">
        <v>42</v>
      </c>
      <c r="R1076">
        <v>134.74</v>
      </c>
    </row>
    <row r="1077" spans="1:18" x14ac:dyDescent="0.3">
      <c r="A1077" t="s">
        <v>2215</v>
      </c>
      <c r="B1077" t="s">
        <v>2216</v>
      </c>
      <c r="C1077" t="s">
        <v>97</v>
      </c>
      <c r="D1077" t="s">
        <v>59</v>
      </c>
      <c r="E1077" s="4">
        <v>42429</v>
      </c>
      <c r="F1077" t="s">
        <v>43</v>
      </c>
      <c r="G1077" t="s">
        <v>23</v>
      </c>
      <c r="H1077" t="s">
        <v>24</v>
      </c>
      <c r="I1077" t="s">
        <v>35</v>
      </c>
      <c r="J1077">
        <v>4</v>
      </c>
      <c r="K1077">
        <v>1274</v>
      </c>
      <c r="L1077">
        <v>2798.45</v>
      </c>
      <c r="M1077">
        <v>39321</v>
      </c>
      <c r="N1077" t="s">
        <v>36</v>
      </c>
      <c r="O1077" t="s">
        <v>62</v>
      </c>
      <c r="P1077" t="s">
        <v>52</v>
      </c>
      <c r="Q1077">
        <v>41</v>
      </c>
      <c r="R1077">
        <v>44.47</v>
      </c>
    </row>
    <row r="1078" spans="1:18" x14ac:dyDescent="0.3">
      <c r="A1078" t="s">
        <v>2217</v>
      </c>
      <c r="B1078" t="s">
        <v>2218</v>
      </c>
      <c r="C1078" t="s">
        <v>31</v>
      </c>
      <c r="D1078" t="s">
        <v>32</v>
      </c>
      <c r="E1078" s="4">
        <v>43167</v>
      </c>
      <c r="F1078" t="s">
        <v>69</v>
      </c>
      <c r="G1078" t="s">
        <v>49</v>
      </c>
      <c r="H1078" t="s">
        <v>75</v>
      </c>
      <c r="I1078" t="s">
        <v>34</v>
      </c>
      <c r="J1078">
        <v>2</v>
      </c>
      <c r="K1078">
        <v>1225</v>
      </c>
      <c r="L1078">
        <v>1629.7</v>
      </c>
      <c r="M1078">
        <v>37718</v>
      </c>
      <c r="N1078" t="s">
        <v>26</v>
      </c>
      <c r="O1078" t="s">
        <v>37</v>
      </c>
      <c r="P1078" t="s">
        <v>51</v>
      </c>
      <c r="Q1078">
        <v>15</v>
      </c>
      <c r="R1078">
        <v>182.8</v>
      </c>
    </row>
    <row r="1079" spans="1:18" x14ac:dyDescent="0.3">
      <c r="A1079" t="s">
        <v>2219</v>
      </c>
      <c r="B1079" t="s">
        <v>2220</v>
      </c>
      <c r="C1079" t="s">
        <v>97</v>
      </c>
      <c r="D1079" t="s">
        <v>21</v>
      </c>
      <c r="E1079" s="4">
        <v>44927</v>
      </c>
      <c r="F1079" t="s">
        <v>48</v>
      </c>
      <c r="G1079" t="s">
        <v>44</v>
      </c>
      <c r="H1079" t="s">
        <v>34</v>
      </c>
      <c r="I1079" t="s">
        <v>35</v>
      </c>
      <c r="J1079">
        <v>7</v>
      </c>
      <c r="K1079">
        <v>1320</v>
      </c>
      <c r="L1079">
        <v>1903.01</v>
      </c>
      <c r="M1079">
        <v>30564</v>
      </c>
      <c r="N1079" t="s">
        <v>26</v>
      </c>
      <c r="O1079" t="s">
        <v>27</v>
      </c>
      <c r="P1079" t="s">
        <v>28</v>
      </c>
      <c r="Q1079">
        <v>50</v>
      </c>
      <c r="R1079">
        <v>19.13</v>
      </c>
    </row>
    <row r="1080" spans="1:18" x14ac:dyDescent="0.3">
      <c r="A1080" t="s">
        <v>2221</v>
      </c>
      <c r="B1080" t="s">
        <v>2222</v>
      </c>
      <c r="C1080" t="s">
        <v>41</v>
      </c>
      <c r="D1080" t="s">
        <v>109</v>
      </c>
      <c r="E1080" s="4">
        <v>42744</v>
      </c>
      <c r="F1080" t="s">
        <v>48</v>
      </c>
      <c r="G1080" t="s">
        <v>83</v>
      </c>
      <c r="H1080" t="s">
        <v>34</v>
      </c>
      <c r="I1080" t="s">
        <v>35</v>
      </c>
      <c r="J1080">
        <v>4</v>
      </c>
      <c r="K1080">
        <v>564</v>
      </c>
      <c r="L1080">
        <v>2124.6</v>
      </c>
      <c r="M1080">
        <v>33983</v>
      </c>
      <c r="N1080" t="s">
        <v>36</v>
      </c>
      <c r="O1080" t="s">
        <v>56</v>
      </c>
      <c r="P1080" t="s">
        <v>28</v>
      </c>
      <c r="Q1080">
        <v>26</v>
      </c>
      <c r="R1080">
        <v>236.06</v>
      </c>
    </row>
    <row r="1081" spans="1:18" x14ac:dyDescent="0.3">
      <c r="A1081" t="s">
        <v>2223</v>
      </c>
      <c r="B1081" t="s">
        <v>2224</v>
      </c>
      <c r="C1081" t="s">
        <v>97</v>
      </c>
      <c r="D1081" t="s">
        <v>109</v>
      </c>
      <c r="E1081" s="4">
        <v>41676</v>
      </c>
      <c r="F1081" t="s">
        <v>48</v>
      </c>
      <c r="G1081" t="s">
        <v>33</v>
      </c>
      <c r="H1081" t="s">
        <v>50</v>
      </c>
      <c r="I1081" t="s">
        <v>35</v>
      </c>
      <c r="J1081">
        <v>1</v>
      </c>
      <c r="K1081">
        <v>149</v>
      </c>
      <c r="L1081">
        <v>2674.94</v>
      </c>
      <c r="M1081">
        <v>33274</v>
      </c>
      <c r="N1081" t="s">
        <v>61</v>
      </c>
      <c r="O1081" t="s">
        <v>62</v>
      </c>
      <c r="P1081" t="s">
        <v>38</v>
      </c>
      <c r="Q1081">
        <v>36</v>
      </c>
      <c r="R1081">
        <v>99.59</v>
      </c>
    </row>
    <row r="1082" spans="1:18" x14ac:dyDescent="0.3">
      <c r="A1082" t="s">
        <v>2225</v>
      </c>
      <c r="B1082" t="s">
        <v>2226</v>
      </c>
      <c r="C1082" t="s">
        <v>20</v>
      </c>
      <c r="D1082" t="s">
        <v>32</v>
      </c>
      <c r="E1082" s="4">
        <v>44033</v>
      </c>
      <c r="F1082" t="s">
        <v>22</v>
      </c>
      <c r="G1082" t="s">
        <v>44</v>
      </c>
      <c r="H1082" t="s">
        <v>34</v>
      </c>
      <c r="I1082" t="s">
        <v>76</v>
      </c>
      <c r="J1082">
        <v>2</v>
      </c>
      <c r="K1082">
        <v>318</v>
      </c>
      <c r="L1082">
        <v>1926.77</v>
      </c>
      <c r="M1082">
        <v>47187</v>
      </c>
      <c r="N1082" t="s">
        <v>26</v>
      </c>
      <c r="O1082" t="s">
        <v>62</v>
      </c>
      <c r="P1082" t="s">
        <v>28</v>
      </c>
      <c r="Q1082">
        <v>24</v>
      </c>
      <c r="R1082">
        <v>219.05</v>
      </c>
    </row>
    <row r="1083" spans="1:18" x14ac:dyDescent="0.3">
      <c r="A1083" t="s">
        <v>2227</v>
      </c>
      <c r="B1083" t="s">
        <v>2228</v>
      </c>
      <c r="C1083" t="s">
        <v>116</v>
      </c>
      <c r="D1083" t="s">
        <v>32</v>
      </c>
      <c r="E1083" s="4">
        <v>40267</v>
      </c>
      <c r="F1083" t="s">
        <v>60</v>
      </c>
      <c r="G1083" t="s">
        <v>102</v>
      </c>
      <c r="H1083" t="s">
        <v>34</v>
      </c>
      <c r="I1083" t="s">
        <v>92</v>
      </c>
      <c r="J1083">
        <v>1</v>
      </c>
      <c r="K1083">
        <v>647</v>
      </c>
      <c r="L1083">
        <v>2645.73</v>
      </c>
      <c r="M1083">
        <v>32106</v>
      </c>
      <c r="N1083" t="s">
        <v>61</v>
      </c>
      <c r="O1083" t="s">
        <v>62</v>
      </c>
      <c r="P1083" t="s">
        <v>28</v>
      </c>
      <c r="Q1083">
        <v>5</v>
      </c>
      <c r="R1083">
        <v>90.41</v>
      </c>
    </row>
    <row r="1084" spans="1:18" x14ac:dyDescent="0.3">
      <c r="A1084" t="s">
        <v>2229</v>
      </c>
      <c r="B1084" t="s">
        <v>2230</v>
      </c>
      <c r="C1084" t="s">
        <v>97</v>
      </c>
      <c r="D1084" t="s">
        <v>42</v>
      </c>
      <c r="E1084" s="4">
        <v>43519</v>
      </c>
      <c r="F1084" t="s">
        <v>60</v>
      </c>
      <c r="G1084" t="s">
        <v>23</v>
      </c>
      <c r="H1084" t="s">
        <v>34</v>
      </c>
      <c r="I1084" t="s">
        <v>25</v>
      </c>
      <c r="J1084">
        <v>7</v>
      </c>
      <c r="K1084">
        <v>784</v>
      </c>
      <c r="L1084">
        <v>3173.69</v>
      </c>
      <c r="M1084">
        <v>12203</v>
      </c>
      <c r="N1084" t="s">
        <v>26</v>
      </c>
      <c r="O1084" t="s">
        <v>62</v>
      </c>
      <c r="P1084" t="s">
        <v>52</v>
      </c>
      <c r="Q1084">
        <v>14</v>
      </c>
      <c r="R1084">
        <v>204.77</v>
      </c>
    </row>
    <row r="1085" spans="1:18" x14ac:dyDescent="0.3">
      <c r="A1085" t="s">
        <v>2231</v>
      </c>
      <c r="B1085" t="s">
        <v>2232</v>
      </c>
      <c r="C1085" t="s">
        <v>68</v>
      </c>
      <c r="D1085" t="s">
        <v>21</v>
      </c>
      <c r="E1085" s="4">
        <v>43737</v>
      </c>
      <c r="F1085" t="s">
        <v>69</v>
      </c>
      <c r="G1085" t="s">
        <v>49</v>
      </c>
      <c r="H1085" t="s">
        <v>24</v>
      </c>
      <c r="I1085" t="s">
        <v>76</v>
      </c>
      <c r="J1085">
        <v>5</v>
      </c>
      <c r="K1085">
        <v>862</v>
      </c>
      <c r="L1085">
        <v>228.53</v>
      </c>
      <c r="M1085">
        <v>40531</v>
      </c>
      <c r="N1085" t="s">
        <v>36</v>
      </c>
      <c r="O1085" t="s">
        <v>37</v>
      </c>
      <c r="P1085" t="s">
        <v>52</v>
      </c>
      <c r="Q1085">
        <v>28</v>
      </c>
      <c r="R1085">
        <v>60.31</v>
      </c>
    </row>
    <row r="1086" spans="1:18" x14ac:dyDescent="0.3">
      <c r="A1086" t="s">
        <v>2233</v>
      </c>
      <c r="B1086" t="s">
        <v>2234</v>
      </c>
      <c r="C1086" t="s">
        <v>79</v>
      </c>
      <c r="D1086" t="s">
        <v>59</v>
      </c>
      <c r="E1086" s="4">
        <v>44023</v>
      </c>
      <c r="F1086" t="s">
        <v>43</v>
      </c>
      <c r="G1086" t="s">
        <v>102</v>
      </c>
      <c r="H1086" t="s">
        <v>34</v>
      </c>
      <c r="I1086" t="s">
        <v>51</v>
      </c>
      <c r="J1086">
        <v>4</v>
      </c>
      <c r="K1086">
        <v>1183</v>
      </c>
      <c r="L1086">
        <v>406.61</v>
      </c>
      <c r="M1086">
        <v>18754</v>
      </c>
      <c r="N1086" t="s">
        <v>26</v>
      </c>
      <c r="O1086" t="s">
        <v>37</v>
      </c>
      <c r="P1086" t="s">
        <v>28</v>
      </c>
      <c r="Q1086">
        <v>24</v>
      </c>
      <c r="R1086">
        <v>147.31</v>
      </c>
    </row>
    <row r="1087" spans="1:18" x14ac:dyDescent="0.3">
      <c r="A1087" t="s">
        <v>2235</v>
      </c>
      <c r="B1087" t="s">
        <v>2236</v>
      </c>
      <c r="C1087" t="s">
        <v>97</v>
      </c>
      <c r="D1087" t="s">
        <v>21</v>
      </c>
      <c r="E1087" s="4">
        <v>44707</v>
      </c>
      <c r="F1087" t="s">
        <v>43</v>
      </c>
      <c r="G1087" t="s">
        <v>33</v>
      </c>
      <c r="H1087" t="s">
        <v>34</v>
      </c>
      <c r="I1087" t="s">
        <v>51</v>
      </c>
      <c r="J1087">
        <v>5</v>
      </c>
      <c r="K1087">
        <v>684</v>
      </c>
      <c r="L1087">
        <v>57.35</v>
      </c>
      <c r="M1087">
        <v>35316</v>
      </c>
      <c r="N1087" t="s">
        <v>36</v>
      </c>
      <c r="O1087" t="s">
        <v>56</v>
      </c>
      <c r="P1087" t="s">
        <v>25</v>
      </c>
      <c r="Q1087">
        <v>42</v>
      </c>
      <c r="R1087">
        <v>23.7</v>
      </c>
    </row>
    <row r="1088" spans="1:18" x14ac:dyDescent="0.3">
      <c r="A1088" t="s">
        <v>2237</v>
      </c>
      <c r="B1088" t="s">
        <v>2238</v>
      </c>
      <c r="C1088" t="s">
        <v>116</v>
      </c>
      <c r="D1088" t="s">
        <v>21</v>
      </c>
      <c r="E1088" s="4">
        <v>42530</v>
      </c>
      <c r="F1088" t="s">
        <v>22</v>
      </c>
      <c r="G1088" t="s">
        <v>33</v>
      </c>
      <c r="H1088" t="s">
        <v>55</v>
      </c>
      <c r="I1088" t="s">
        <v>25</v>
      </c>
      <c r="J1088">
        <v>6</v>
      </c>
      <c r="K1088">
        <v>446</v>
      </c>
      <c r="L1088">
        <v>194.52</v>
      </c>
      <c r="M1088">
        <v>10119</v>
      </c>
      <c r="N1088" t="s">
        <v>36</v>
      </c>
      <c r="O1088" t="s">
        <v>62</v>
      </c>
      <c r="P1088" t="s">
        <v>38</v>
      </c>
      <c r="Q1088">
        <v>7</v>
      </c>
      <c r="R1088">
        <v>95.5</v>
      </c>
    </row>
    <row r="1089" spans="1:18" x14ac:dyDescent="0.3">
      <c r="A1089" t="s">
        <v>2239</v>
      </c>
      <c r="B1089" t="s">
        <v>2240</v>
      </c>
      <c r="C1089" t="s">
        <v>31</v>
      </c>
      <c r="D1089" t="s">
        <v>109</v>
      </c>
      <c r="E1089" s="4">
        <v>41007</v>
      </c>
      <c r="F1089" t="s">
        <v>43</v>
      </c>
      <c r="G1089" t="s">
        <v>44</v>
      </c>
      <c r="H1089" t="s">
        <v>34</v>
      </c>
      <c r="I1089" t="s">
        <v>25</v>
      </c>
      <c r="J1089">
        <v>2</v>
      </c>
      <c r="K1089">
        <v>1091</v>
      </c>
      <c r="L1089">
        <v>3460.29</v>
      </c>
      <c r="M1089">
        <v>20251</v>
      </c>
      <c r="N1089" t="s">
        <v>61</v>
      </c>
      <c r="O1089" t="s">
        <v>27</v>
      </c>
      <c r="P1089" t="s">
        <v>51</v>
      </c>
      <c r="Q1089">
        <v>2</v>
      </c>
      <c r="R1089">
        <v>138.65</v>
      </c>
    </row>
    <row r="1090" spans="1:18" x14ac:dyDescent="0.3">
      <c r="A1090" t="s">
        <v>2241</v>
      </c>
      <c r="B1090" t="s">
        <v>2242</v>
      </c>
      <c r="C1090" t="s">
        <v>68</v>
      </c>
      <c r="D1090" t="s">
        <v>82</v>
      </c>
      <c r="E1090" s="4">
        <v>43928</v>
      </c>
      <c r="F1090" t="s">
        <v>69</v>
      </c>
      <c r="G1090" t="s">
        <v>102</v>
      </c>
      <c r="H1090" t="s">
        <v>50</v>
      </c>
      <c r="I1090" t="s">
        <v>25</v>
      </c>
      <c r="J1090">
        <v>8</v>
      </c>
      <c r="K1090">
        <v>303</v>
      </c>
      <c r="L1090">
        <v>4139.1499999999996</v>
      </c>
      <c r="M1090">
        <v>29247</v>
      </c>
      <c r="N1090" t="s">
        <v>26</v>
      </c>
      <c r="O1090" t="s">
        <v>27</v>
      </c>
      <c r="P1090" t="s">
        <v>25</v>
      </c>
      <c r="Q1090">
        <v>31</v>
      </c>
      <c r="R1090">
        <v>112.64</v>
      </c>
    </row>
    <row r="1091" spans="1:18" x14ac:dyDescent="0.3">
      <c r="A1091" t="s">
        <v>2243</v>
      </c>
      <c r="B1091" t="s">
        <v>2244</v>
      </c>
      <c r="C1091" t="s">
        <v>20</v>
      </c>
      <c r="D1091" t="s">
        <v>59</v>
      </c>
      <c r="E1091" s="4">
        <v>41884</v>
      </c>
      <c r="F1091" t="s">
        <v>22</v>
      </c>
      <c r="G1091" t="s">
        <v>49</v>
      </c>
      <c r="H1091" t="s">
        <v>70</v>
      </c>
      <c r="I1091" t="s">
        <v>25</v>
      </c>
      <c r="J1091">
        <v>8</v>
      </c>
      <c r="K1091">
        <v>923</v>
      </c>
      <c r="L1091">
        <v>3100.99</v>
      </c>
      <c r="M1091">
        <v>42753</v>
      </c>
      <c r="N1091" t="s">
        <v>36</v>
      </c>
      <c r="O1091" t="s">
        <v>37</v>
      </c>
      <c r="P1091" t="s">
        <v>38</v>
      </c>
      <c r="Q1091">
        <v>42</v>
      </c>
      <c r="R1091">
        <v>241.73</v>
      </c>
    </row>
    <row r="1092" spans="1:18" x14ac:dyDescent="0.3">
      <c r="A1092" t="s">
        <v>2245</v>
      </c>
      <c r="B1092" t="s">
        <v>2246</v>
      </c>
      <c r="C1092" t="s">
        <v>20</v>
      </c>
      <c r="D1092" t="s">
        <v>59</v>
      </c>
      <c r="E1092" s="4">
        <v>46029</v>
      </c>
      <c r="F1092" t="s">
        <v>22</v>
      </c>
      <c r="G1092" t="s">
        <v>23</v>
      </c>
      <c r="H1092" t="s">
        <v>55</v>
      </c>
      <c r="I1092" t="s">
        <v>76</v>
      </c>
      <c r="J1092">
        <v>6</v>
      </c>
      <c r="K1092">
        <v>982</v>
      </c>
      <c r="L1092">
        <v>858.93</v>
      </c>
      <c r="M1092">
        <v>40624</v>
      </c>
      <c r="N1092" t="s">
        <v>61</v>
      </c>
      <c r="O1092" t="s">
        <v>27</v>
      </c>
      <c r="P1092" t="s">
        <v>45</v>
      </c>
      <c r="Q1092">
        <v>47</v>
      </c>
      <c r="R1092">
        <v>98.35</v>
      </c>
    </row>
    <row r="1093" spans="1:18" x14ac:dyDescent="0.3">
      <c r="A1093" t="s">
        <v>2247</v>
      </c>
      <c r="B1093" t="s">
        <v>2248</v>
      </c>
      <c r="C1093" t="s">
        <v>41</v>
      </c>
      <c r="D1093" t="s">
        <v>21</v>
      </c>
      <c r="E1093" s="4">
        <v>43746</v>
      </c>
      <c r="F1093" t="s">
        <v>69</v>
      </c>
      <c r="G1093" t="s">
        <v>33</v>
      </c>
      <c r="H1093" t="s">
        <v>24</v>
      </c>
      <c r="I1093" t="s">
        <v>25</v>
      </c>
      <c r="J1093">
        <v>4</v>
      </c>
      <c r="K1093">
        <v>1048</v>
      </c>
      <c r="L1093">
        <v>4405.6000000000004</v>
      </c>
      <c r="M1093">
        <v>42648</v>
      </c>
      <c r="N1093" t="s">
        <v>26</v>
      </c>
      <c r="O1093" t="s">
        <v>62</v>
      </c>
      <c r="P1093" t="s">
        <v>28</v>
      </c>
      <c r="Q1093">
        <v>3</v>
      </c>
      <c r="R1093">
        <v>37.11</v>
      </c>
    </row>
    <row r="1094" spans="1:18" x14ac:dyDescent="0.3">
      <c r="A1094" t="s">
        <v>2249</v>
      </c>
      <c r="B1094" t="s">
        <v>2250</v>
      </c>
      <c r="C1094" t="s">
        <v>68</v>
      </c>
      <c r="D1094" t="s">
        <v>59</v>
      </c>
      <c r="E1094" s="4">
        <v>42982</v>
      </c>
      <c r="F1094" t="s">
        <v>69</v>
      </c>
      <c r="G1094" t="s">
        <v>33</v>
      </c>
      <c r="H1094" t="s">
        <v>70</v>
      </c>
      <c r="I1094" t="s">
        <v>35</v>
      </c>
      <c r="J1094">
        <v>0</v>
      </c>
      <c r="K1094">
        <v>659</v>
      </c>
      <c r="L1094">
        <v>4511.51</v>
      </c>
      <c r="M1094">
        <v>39447</v>
      </c>
      <c r="N1094" t="s">
        <v>61</v>
      </c>
      <c r="O1094" t="s">
        <v>37</v>
      </c>
      <c r="P1094" t="s">
        <v>51</v>
      </c>
      <c r="Q1094">
        <v>2</v>
      </c>
      <c r="R1094">
        <v>134.01</v>
      </c>
    </row>
    <row r="1095" spans="1:18" x14ac:dyDescent="0.3">
      <c r="A1095" t="s">
        <v>2251</v>
      </c>
      <c r="B1095" t="s">
        <v>2252</v>
      </c>
      <c r="C1095" t="s">
        <v>41</v>
      </c>
      <c r="D1095" t="s">
        <v>109</v>
      </c>
      <c r="E1095" s="4">
        <v>45890</v>
      </c>
      <c r="F1095" t="s">
        <v>48</v>
      </c>
      <c r="G1095" t="s">
        <v>23</v>
      </c>
      <c r="H1095" t="s">
        <v>55</v>
      </c>
      <c r="I1095" t="s">
        <v>92</v>
      </c>
      <c r="J1095">
        <v>0</v>
      </c>
      <c r="K1095">
        <v>234</v>
      </c>
      <c r="L1095">
        <v>4153.8100000000004</v>
      </c>
      <c r="M1095">
        <v>27354</v>
      </c>
      <c r="N1095" t="s">
        <v>61</v>
      </c>
      <c r="O1095" t="s">
        <v>62</v>
      </c>
      <c r="P1095" t="s">
        <v>51</v>
      </c>
      <c r="Q1095">
        <v>13</v>
      </c>
      <c r="R1095">
        <v>199.53</v>
      </c>
    </row>
    <row r="1096" spans="1:18" x14ac:dyDescent="0.3">
      <c r="A1096" t="s">
        <v>2253</v>
      </c>
      <c r="B1096" t="s">
        <v>2254</v>
      </c>
      <c r="C1096" t="s">
        <v>116</v>
      </c>
      <c r="D1096" t="s">
        <v>59</v>
      </c>
      <c r="E1096" s="4">
        <v>45391</v>
      </c>
      <c r="F1096" t="s">
        <v>69</v>
      </c>
      <c r="G1096" t="s">
        <v>23</v>
      </c>
      <c r="H1096" t="s">
        <v>55</v>
      </c>
      <c r="I1096" t="s">
        <v>51</v>
      </c>
      <c r="J1096">
        <v>5</v>
      </c>
      <c r="K1096">
        <v>395</v>
      </c>
      <c r="L1096">
        <v>4097.95</v>
      </c>
      <c r="M1096">
        <v>20931</v>
      </c>
      <c r="N1096" t="s">
        <v>36</v>
      </c>
      <c r="O1096" t="s">
        <v>62</v>
      </c>
      <c r="P1096" t="s">
        <v>28</v>
      </c>
      <c r="Q1096">
        <v>21</v>
      </c>
      <c r="R1096">
        <v>92.66</v>
      </c>
    </row>
    <row r="1097" spans="1:18" x14ac:dyDescent="0.3">
      <c r="A1097" t="s">
        <v>2255</v>
      </c>
      <c r="B1097" t="s">
        <v>2256</v>
      </c>
      <c r="C1097" t="s">
        <v>79</v>
      </c>
      <c r="D1097" t="s">
        <v>32</v>
      </c>
      <c r="E1097" s="4">
        <v>43651</v>
      </c>
      <c r="F1097" t="s">
        <v>22</v>
      </c>
      <c r="G1097" t="s">
        <v>44</v>
      </c>
      <c r="H1097" t="s">
        <v>24</v>
      </c>
      <c r="I1097" t="s">
        <v>51</v>
      </c>
      <c r="J1097">
        <v>3</v>
      </c>
      <c r="K1097">
        <v>3</v>
      </c>
      <c r="L1097">
        <v>2164.02</v>
      </c>
      <c r="M1097">
        <v>43349</v>
      </c>
      <c r="N1097" t="s">
        <v>36</v>
      </c>
      <c r="O1097" t="s">
        <v>27</v>
      </c>
      <c r="P1097" t="s">
        <v>38</v>
      </c>
      <c r="Q1097">
        <v>21</v>
      </c>
      <c r="R1097">
        <v>218.74</v>
      </c>
    </row>
    <row r="1098" spans="1:18" x14ac:dyDescent="0.3">
      <c r="A1098" t="s">
        <v>2257</v>
      </c>
      <c r="B1098" t="s">
        <v>2258</v>
      </c>
      <c r="C1098" t="s">
        <v>41</v>
      </c>
      <c r="D1098" t="s">
        <v>109</v>
      </c>
      <c r="E1098" s="4">
        <v>45321</v>
      </c>
      <c r="F1098" t="s">
        <v>22</v>
      </c>
      <c r="G1098" t="s">
        <v>102</v>
      </c>
      <c r="H1098" t="s">
        <v>50</v>
      </c>
      <c r="I1098" t="s">
        <v>34</v>
      </c>
      <c r="J1098">
        <v>2</v>
      </c>
      <c r="K1098">
        <v>74</v>
      </c>
      <c r="L1098">
        <v>1777.17</v>
      </c>
      <c r="M1098">
        <v>40088</v>
      </c>
      <c r="N1098" t="s">
        <v>61</v>
      </c>
      <c r="O1098" t="s">
        <v>37</v>
      </c>
      <c r="P1098" t="s">
        <v>51</v>
      </c>
      <c r="Q1098">
        <v>10</v>
      </c>
      <c r="R1098">
        <v>137.76</v>
      </c>
    </row>
    <row r="1099" spans="1:18" x14ac:dyDescent="0.3">
      <c r="A1099" t="s">
        <v>2259</v>
      </c>
      <c r="B1099" t="s">
        <v>2260</v>
      </c>
      <c r="C1099" t="s">
        <v>79</v>
      </c>
      <c r="D1099" t="s">
        <v>21</v>
      </c>
      <c r="E1099" s="4">
        <v>41455</v>
      </c>
      <c r="F1099" t="s">
        <v>60</v>
      </c>
      <c r="G1099" t="s">
        <v>33</v>
      </c>
      <c r="H1099" t="s">
        <v>24</v>
      </c>
      <c r="I1099" t="s">
        <v>25</v>
      </c>
      <c r="J1099">
        <v>5</v>
      </c>
      <c r="K1099">
        <v>1304</v>
      </c>
      <c r="L1099">
        <v>3235.98</v>
      </c>
      <c r="M1099">
        <v>15978</v>
      </c>
      <c r="N1099" t="s">
        <v>26</v>
      </c>
      <c r="O1099" t="s">
        <v>37</v>
      </c>
      <c r="P1099" t="s">
        <v>25</v>
      </c>
      <c r="Q1099">
        <v>37</v>
      </c>
      <c r="R1099">
        <v>48.18</v>
      </c>
    </row>
    <row r="1100" spans="1:18" x14ac:dyDescent="0.3">
      <c r="A1100" t="s">
        <v>2261</v>
      </c>
      <c r="B1100" t="s">
        <v>2262</v>
      </c>
      <c r="C1100" t="s">
        <v>116</v>
      </c>
      <c r="D1100" t="s">
        <v>21</v>
      </c>
      <c r="E1100" s="4">
        <v>43771</v>
      </c>
      <c r="F1100" t="s">
        <v>22</v>
      </c>
      <c r="G1100" t="s">
        <v>33</v>
      </c>
      <c r="H1100" t="s">
        <v>55</v>
      </c>
      <c r="I1100" t="s">
        <v>25</v>
      </c>
      <c r="J1100">
        <v>5</v>
      </c>
      <c r="K1100">
        <v>1152</v>
      </c>
      <c r="L1100">
        <v>1678.04</v>
      </c>
      <c r="M1100">
        <v>3602</v>
      </c>
      <c r="N1100" t="s">
        <v>36</v>
      </c>
      <c r="O1100" t="s">
        <v>27</v>
      </c>
      <c r="P1100" t="s">
        <v>38</v>
      </c>
      <c r="Q1100">
        <v>49</v>
      </c>
      <c r="R1100">
        <v>13.66</v>
      </c>
    </row>
    <row r="1101" spans="1:18" x14ac:dyDescent="0.3">
      <c r="A1101" t="s">
        <v>2263</v>
      </c>
      <c r="B1101" t="s">
        <v>2264</v>
      </c>
      <c r="C1101" t="s">
        <v>31</v>
      </c>
      <c r="D1101" t="s">
        <v>59</v>
      </c>
      <c r="E1101" s="4">
        <v>42908</v>
      </c>
      <c r="F1101" t="s">
        <v>43</v>
      </c>
      <c r="G1101" t="s">
        <v>23</v>
      </c>
      <c r="H1101" t="s">
        <v>50</v>
      </c>
      <c r="I1101" t="s">
        <v>51</v>
      </c>
      <c r="J1101">
        <v>7</v>
      </c>
      <c r="K1101">
        <v>422</v>
      </c>
      <c r="L1101">
        <v>955.89</v>
      </c>
      <c r="M1101">
        <v>37415</v>
      </c>
      <c r="N1101" t="s">
        <v>26</v>
      </c>
      <c r="O1101" t="s">
        <v>56</v>
      </c>
      <c r="P1101" t="s">
        <v>28</v>
      </c>
      <c r="Q1101">
        <v>32</v>
      </c>
      <c r="R1101">
        <v>151.19999999999999</v>
      </c>
    </row>
    <row r="1102" spans="1:18" x14ac:dyDescent="0.3">
      <c r="A1102" t="s">
        <v>2265</v>
      </c>
      <c r="B1102" t="s">
        <v>2266</v>
      </c>
      <c r="C1102" t="s">
        <v>68</v>
      </c>
      <c r="D1102" t="s">
        <v>109</v>
      </c>
      <c r="E1102" s="4">
        <v>43778</v>
      </c>
      <c r="F1102" t="s">
        <v>69</v>
      </c>
      <c r="G1102" t="s">
        <v>102</v>
      </c>
      <c r="H1102" t="s">
        <v>24</v>
      </c>
      <c r="I1102" t="s">
        <v>92</v>
      </c>
      <c r="J1102">
        <v>3</v>
      </c>
      <c r="K1102">
        <v>439</v>
      </c>
      <c r="L1102">
        <v>1202.95</v>
      </c>
      <c r="M1102">
        <v>42824</v>
      </c>
      <c r="N1102" t="s">
        <v>61</v>
      </c>
      <c r="O1102" t="s">
        <v>56</v>
      </c>
      <c r="P1102" t="s">
        <v>51</v>
      </c>
      <c r="Q1102">
        <v>34</v>
      </c>
      <c r="R1102">
        <v>77.8</v>
      </c>
    </row>
    <row r="1103" spans="1:18" x14ac:dyDescent="0.3">
      <c r="A1103" t="s">
        <v>2267</v>
      </c>
      <c r="B1103" t="s">
        <v>2268</v>
      </c>
      <c r="C1103" t="s">
        <v>79</v>
      </c>
      <c r="D1103" t="s">
        <v>21</v>
      </c>
      <c r="E1103" s="4">
        <v>43434</v>
      </c>
      <c r="F1103" t="s">
        <v>65</v>
      </c>
      <c r="G1103" t="s">
        <v>49</v>
      </c>
      <c r="H1103" t="s">
        <v>75</v>
      </c>
      <c r="I1103" t="s">
        <v>34</v>
      </c>
      <c r="J1103">
        <v>5</v>
      </c>
      <c r="K1103">
        <v>818</v>
      </c>
      <c r="L1103">
        <v>406.78</v>
      </c>
      <c r="M1103">
        <v>32330</v>
      </c>
      <c r="N1103" t="s">
        <v>26</v>
      </c>
      <c r="O1103" t="s">
        <v>62</v>
      </c>
      <c r="P1103" t="s">
        <v>28</v>
      </c>
      <c r="Q1103">
        <v>43</v>
      </c>
      <c r="R1103">
        <v>102.03</v>
      </c>
    </row>
    <row r="1104" spans="1:18" x14ac:dyDescent="0.3">
      <c r="A1104" t="s">
        <v>2269</v>
      </c>
      <c r="B1104" t="s">
        <v>2270</v>
      </c>
      <c r="C1104" t="s">
        <v>116</v>
      </c>
      <c r="D1104" t="s">
        <v>82</v>
      </c>
      <c r="E1104" s="4">
        <v>40701</v>
      </c>
      <c r="F1104" t="s">
        <v>48</v>
      </c>
      <c r="G1104" t="s">
        <v>23</v>
      </c>
      <c r="H1104" t="s">
        <v>55</v>
      </c>
      <c r="I1104" t="s">
        <v>92</v>
      </c>
      <c r="J1104">
        <v>0</v>
      </c>
      <c r="K1104">
        <v>1056</v>
      </c>
      <c r="L1104">
        <v>1845.21</v>
      </c>
      <c r="M1104">
        <v>49010</v>
      </c>
      <c r="N1104" t="s">
        <v>61</v>
      </c>
      <c r="O1104" t="s">
        <v>56</v>
      </c>
      <c r="P1104" t="s">
        <v>52</v>
      </c>
      <c r="Q1104">
        <v>43</v>
      </c>
      <c r="R1104">
        <v>140.52000000000001</v>
      </c>
    </row>
    <row r="1105" spans="1:18" x14ac:dyDescent="0.3">
      <c r="A1105" t="s">
        <v>2271</v>
      </c>
      <c r="B1105" t="s">
        <v>2272</v>
      </c>
      <c r="C1105" t="s">
        <v>79</v>
      </c>
      <c r="D1105" t="s">
        <v>42</v>
      </c>
      <c r="E1105" s="4">
        <v>45862</v>
      </c>
      <c r="F1105" t="s">
        <v>22</v>
      </c>
      <c r="G1105" t="s">
        <v>83</v>
      </c>
      <c r="H1105" t="s">
        <v>55</v>
      </c>
      <c r="I1105" t="s">
        <v>35</v>
      </c>
      <c r="J1105">
        <v>1</v>
      </c>
      <c r="K1105">
        <v>743</v>
      </c>
      <c r="L1105">
        <v>4430.26</v>
      </c>
      <c r="M1105">
        <v>18909</v>
      </c>
      <c r="N1105" t="s">
        <v>36</v>
      </c>
      <c r="O1105" t="s">
        <v>56</v>
      </c>
      <c r="P1105" t="s">
        <v>25</v>
      </c>
      <c r="Q1105">
        <v>27</v>
      </c>
      <c r="R1105">
        <v>231.11</v>
      </c>
    </row>
    <row r="1106" spans="1:18" x14ac:dyDescent="0.3">
      <c r="A1106" t="s">
        <v>2273</v>
      </c>
      <c r="B1106" t="s">
        <v>2274</v>
      </c>
      <c r="C1106" t="s">
        <v>79</v>
      </c>
      <c r="D1106" t="s">
        <v>59</v>
      </c>
      <c r="E1106" s="4">
        <v>41751</v>
      </c>
      <c r="F1106" t="s">
        <v>22</v>
      </c>
      <c r="G1106" t="s">
        <v>33</v>
      </c>
      <c r="H1106" t="s">
        <v>50</v>
      </c>
      <c r="I1106" t="s">
        <v>34</v>
      </c>
      <c r="J1106">
        <v>6</v>
      </c>
      <c r="K1106">
        <v>1488</v>
      </c>
      <c r="L1106">
        <v>1490.53</v>
      </c>
      <c r="M1106">
        <v>3231</v>
      </c>
      <c r="N1106" t="s">
        <v>26</v>
      </c>
      <c r="O1106" t="s">
        <v>37</v>
      </c>
      <c r="P1106" t="s">
        <v>45</v>
      </c>
      <c r="Q1106">
        <v>21</v>
      </c>
      <c r="R1106">
        <v>131.52000000000001</v>
      </c>
    </row>
    <row r="1107" spans="1:18" x14ac:dyDescent="0.3">
      <c r="A1107" t="s">
        <v>2275</v>
      </c>
      <c r="B1107" t="s">
        <v>2276</v>
      </c>
      <c r="C1107" t="s">
        <v>68</v>
      </c>
      <c r="D1107" t="s">
        <v>42</v>
      </c>
      <c r="E1107" s="4">
        <v>44459</v>
      </c>
      <c r="F1107" t="s">
        <v>22</v>
      </c>
      <c r="G1107" t="s">
        <v>102</v>
      </c>
      <c r="H1107" t="s">
        <v>34</v>
      </c>
      <c r="I1107" t="s">
        <v>51</v>
      </c>
      <c r="J1107">
        <v>2</v>
      </c>
      <c r="K1107">
        <v>87</v>
      </c>
      <c r="L1107">
        <v>3473.81</v>
      </c>
      <c r="M1107">
        <v>21491</v>
      </c>
      <c r="N1107" t="s">
        <v>26</v>
      </c>
      <c r="O1107" t="s">
        <v>27</v>
      </c>
      <c r="P1107" t="s">
        <v>51</v>
      </c>
      <c r="Q1107">
        <v>26</v>
      </c>
      <c r="R1107">
        <v>192.07</v>
      </c>
    </row>
    <row r="1108" spans="1:18" x14ac:dyDescent="0.3">
      <c r="A1108" t="s">
        <v>2277</v>
      </c>
      <c r="B1108" t="s">
        <v>2278</v>
      </c>
      <c r="C1108" t="s">
        <v>68</v>
      </c>
      <c r="D1108" t="s">
        <v>21</v>
      </c>
      <c r="E1108" s="4">
        <v>44377</v>
      </c>
      <c r="F1108" t="s">
        <v>48</v>
      </c>
      <c r="G1108" t="s">
        <v>44</v>
      </c>
      <c r="H1108" t="s">
        <v>24</v>
      </c>
      <c r="I1108" t="s">
        <v>25</v>
      </c>
      <c r="J1108">
        <v>3</v>
      </c>
      <c r="K1108">
        <v>127</v>
      </c>
      <c r="L1108">
        <v>81.72</v>
      </c>
      <c r="M1108">
        <v>17580</v>
      </c>
      <c r="N1108" t="s">
        <v>61</v>
      </c>
      <c r="O1108" t="s">
        <v>27</v>
      </c>
      <c r="P1108" t="s">
        <v>28</v>
      </c>
      <c r="Q1108">
        <v>11</v>
      </c>
      <c r="R1108">
        <v>150.85</v>
      </c>
    </row>
    <row r="1109" spans="1:18" x14ac:dyDescent="0.3">
      <c r="A1109" t="s">
        <v>2279</v>
      </c>
      <c r="B1109" t="s">
        <v>2280</v>
      </c>
      <c r="C1109" t="s">
        <v>79</v>
      </c>
      <c r="D1109" t="s">
        <v>109</v>
      </c>
      <c r="E1109" s="4">
        <v>43816</v>
      </c>
      <c r="F1109" t="s">
        <v>43</v>
      </c>
      <c r="G1109" t="s">
        <v>102</v>
      </c>
      <c r="H1109" t="s">
        <v>34</v>
      </c>
      <c r="I1109" t="s">
        <v>35</v>
      </c>
      <c r="J1109">
        <v>3</v>
      </c>
      <c r="K1109">
        <v>332</v>
      </c>
      <c r="L1109">
        <v>3192.38</v>
      </c>
      <c r="M1109">
        <v>16878</v>
      </c>
      <c r="N1109" t="s">
        <v>61</v>
      </c>
      <c r="O1109" t="s">
        <v>37</v>
      </c>
      <c r="P1109" t="s">
        <v>52</v>
      </c>
      <c r="Q1109">
        <v>49</v>
      </c>
      <c r="R1109">
        <v>225.43</v>
      </c>
    </row>
    <row r="1110" spans="1:18" x14ac:dyDescent="0.3">
      <c r="A1110" t="s">
        <v>2281</v>
      </c>
      <c r="B1110" t="s">
        <v>2282</v>
      </c>
      <c r="C1110" t="s">
        <v>97</v>
      </c>
      <c r="D1110" t="s">
        <v>59</v>
      </c>
      <c r="E1110" s="4">
        <v>46051</v>
      </c>
      <c r="F1110" t="s">
        <v>69</v>
      </c>
      <c r="G1110" t="s">
        <v>33</v>
      </c>
      <c r="H1110" t="s">
        <v>70</v>
      </c>
      <c r="I1110" t="s">
        <v>34</v>
      </c>
      <c r="J1110">
        <v>0</v>
      </c>
      <c r="K1110">
        <v>1007</v>
      </c>
      <c r="L1110">
        <v>1627.91</v>
      </c>
      <c r="M1110">
        <v>33882</v>
      </c>
      <c r="N1110" t="s">
        <v>61</v>
      </c>
      <c r="O1110" t="s">
        <v>27</v>
      </c>
      <c r="P1110" t="s">
        <v>25</v>
      </c>
      <c r="Q1110">
        <v>40</v>
      </c>
      <c r="R1110">
        <v>50.38</v>
      </c>
    </row>
    <row r="1111" spans="1:18" x14ac:dyDescent="0.3">
      <c r="A1111" t="s">
        <v>2283</v>
      </c>
      <c r="B1111" t="s">
        <v>2284</v>
      </c>
      <c r="C1111" t="s">
        <v>79</v>
      </c>
      <c r="D1111" t="s">
        <v>82</v>
      </c>
      <c r="E1111" s="4">
        <v>43046</v>
      </c>
      <c r="F1111" t="s">
        <v>22</v>
      </c>
      <c r="G1111" t="s">
        <v>83</v>
      </c>
      <c r="H1111" t="s">
        <v>70</v>
      </c>
      <c r="I1111" t="s">
        <v>25</v>
      </c>
      <c r="J1111">
        <v>7</v>
      </c>
      <c r="K1111">
        <v>733</v>
      </c>
      <c r="L1111">
        <v>4333.97</v>
      </c>
      <c r="M1111">
        <v>15157</v>
      </c>
      <c r="N1111" t="s">
        <v>26</v>
      </c>
      <c r="O1111" t="s">
        <v>62</v>
      </c>
      <c r="P1111" t="s">
        <v>38</v>
      </c>
      <c r="Q1111">
        <v>13</v>
      </c>
      <c r="R1111">
        <v>177.28</v>
      </c>
    </row>
    <row r="1112" spans="1:18" x14ac:dyDescent="0.3">
      <c r="A1112" t="s">
        <v>2285</v>
      </c>
      <c r="B1112" t="s">
        <v>2286</v>
      </c>
      <c r="C1112" t="s">
        <v>116</v>
      </c>
      <c r="D1112" t="s">
        <v>82</v>
      </c>
      <c r="E1112" s="4">
        <v>44865</v>
      </c>
      <c r="F1112" t="s">
        <v>60</v>
      </c>
      <c r="G1112" t="s">
        <v>49</v>
      </c>
      <c r="H1112" t="s">
        <v>24</v>
      </c>
      <c r="I1112" t="s">
        <v>76</v>
      </c>
      <c r="J1112">
        <v>3</v>
      </c>
      <c r="K1112">
        <v>608</v>
      </c>
      <c r="L1112">
        <v>2710.95</v>
      </c>
      <c r="M1112">
        <v>30417</v>
      </c>
      <c r="N1112" t="s">
        <v>26</v>
      </c>
      <c r="O1112" t="s">
        <v>62</v>
      </c>
      <c r="P1112" t="s">
        <v>25</v>
      </c>
      <c r="Q1112">
        <v>23</v>
      </c>
      <c r="R1112">
        <v>165.15</v>
      </c>
    </row>
    <row r="1113" spans="1:18" x14ac:dyDescent="0.3">
      <c r="A1113" t="s">
        <v>2287</v>
      </c>
      <c r="B1113" t="s">
        <v>2288</v>
      </c>
      <c r="C1113" t="s">
        <v>116</v>
      </c>
      <c r="D1113" t="s">
        <v>82</v>
      </c>
      <c r="E1113" s="4">
        <v>44223</v>
      </c>
      <c r="F1113" t="s">
        <v>60</v>
      </c>
      <c r="G1113" t="s">
        <v>23</v>
      </c>
      <c r="H1113" t="s">
        <v>55</v>
      </c>
      <c r="I1113" t="s">
        <v>35</v>
      </c>
      <c r="J1113">
        <v>2</v>
      </c>
      <c r="K1113">
        <v>1297</v>
      </c>
      <c r="L1113">
        <v>753.07</v>
      </c>
      <c r="M1113">
        <v>29981</v>
      </c>
      <c r="N1113" t="s">
        <v>36</v>
      </c>
      <c r="O1113" t="s">
        <v>27</v>
      </c>
      <c r="P1113" t="s">
        <v>51</v>
      </c>
      <c r="Q1113">
        <v>29</v>
      </c>
      <c r="R1113">
        <v>207.44</v>
      </c>
    </row>
    <row r="1114" spans="1:18" x14ac:dyDescent="0.3">
      <c r="A1114" t="s">
        <v>2289</v>
      </c>
      <c r="B1114" t="s">
        <v>2290</v>
      </c>
      <c r="C1114" t="s">
        <v>79</v>
      </c>
      <c r="D1114" t="s">
        <v>32</v>
      </c>
      <c r="E1114" s="4">
        <v>44364</v>
      </c>
      <c r="F1114" t="s">
        <v>43</v>
      </c>
      <c r="G1114" t="s">
        <v>83</v>
      </c>
      <c r="H1114" t="s">
        <v>34</v>
      </c>
      <c r="I1114" t="s">
        <v>34</v>
      </c>
      <c r="J1114">
        <v>3</v>
      </c>
      <c r="K1114">
        <v>464</v>
      </c>
      <c r="L1114">
        <v>3518.22</v>
      </c>
      <c r="M1114">
        <v>32736</v>
      </c>
      <c r="N1114" t="s">
        <v>36</v>
      </c>
      <c r="O1114" t="s">
        <v>56</v>
      </c>
      <c r="P1114" t="s">
        <v>51</v>
      </c>
      <c r="Q1114">
        <v>7</v>
      </c>
      <c r="R1114">
        <v>84.9</v>
      </c>
    </row>
    <row r="1115" spans="1:18" x14ac:dyDescent="0.3">
      <c r="A1115" t="s">
        <v>2291</v>
      </c>
      <c r="B1115" t="s">
        <v>2292</v>
      </c>
      <c r="C1115" t="s">
        <v>116</v>
      </c>
      <c r="D1115" t="s">
        <v>42</v>
      </c>
      <c r="E1115" s="4">
        <v>41744</v>
      </c>
      <c r="F1115" t="s">
        <v>60</v>
      </c>
      <c r="G1115" t="s">
        <v>102</v>
      </c>
      <c r="H1115" t="s">
        <v>55</v>
      </c>
      <c r="I1115" t="s">
        <v>34</v>
      </c>
      <c r="J1115">
        <v>0</v>
      </c>
      <c r="K1115">
        <v>1067</v>
      </c>
      <c r="L1115">
        <v>749.77</v>
      </c>
      <c r="M1115">
        <v>4280</v>
      </c>
      <c r="N1115" t="s">
        <v>61</v>
      </c>
      <c r="O1115" t="s">
        <v>56</v>
      </c>
      <c r="P1115" t="s">
        <v>51</v>
      </c>
      <c r="Q1115">
        <v>6</v>
      </c>
      <c r="R1115">
        <v>160.12</v>
      </c>
    </row>
    <row r="1116" spans="1:18" x14ac:dyDescent="0.3">
      <c r="A1116" t="s">
        <v>2293</v>
      </c>
      <c r="B1116" t="s">
        <v>2294</v>
      </c>
      <c r="C1116" t="s">
        <v>31</v>
      </c>
      <c r="D1116" t="s">
        <v>109</v>
      </c>
      <c r="E1116" s="4">
        <v>45119</v>
      </c>
      <c r="F1116" t="s">
        <v>60</v>
      </c>
      <c r="G1116" t="s">
        <v>44</v>
      </c>
      <c r="H1116" t="s">
        <v>24</v>
      </c>
      <c r="I1116" t="s">
        <v>34</v>
      </c>
      <c r="J1116">
        <v>3</v>
      </c>
      <c r="K1116">
        <v>596</v>
      </c>
      <c r="L1116">
        <v>3559.14</v>
      </c>
      <c r="M1116">
        <v>35039</v>
      </c>
      <c r="N1116" t="s">
        <v>36</v>
      </c>
      <c r="O1116" t="s">
        <v>62</v>
      </c>
      <c r="P1116" t="s">
        <v>52</v>
      </c>
      <c r="Q1116">
        <v>19</v>
      </c>
      <c r="R1116">
        <v>176.89</v>
      </c>
    </row>
    <row r="1117" spans="1:18" x14ac:dyDescent="0.3">
      <c r="A1117" t="s">
        <v>2295</v>
      </c>
      <c r="B1117" t="s">
        <v>2296</v>
      </c>
      <c r="C1117" t="s">
        <v>116</v>
      </c>
      <c r="D1117" t="s">
        <v>42</v>
      </c>
      <c r="E1117" s="4">
        <v>42081</v>
      </c>
      <c r="F1117" t="s">
        <v>69</v>
      </c>
      <c r="G1117" t="s">
        <v>102</v>
      </c>
      <c r="H1117" t="s">
        <v>75</v>
      </c>
      <c r="I1117" t="s">
        <v>92</v>
      </c>
      <c r="J1117">
        <v>5</v>
      </c>
      <c r="K1117">
        <v>114</v>
      </c>
      <c r="L1117">
        <v>3907.08</v>
      </c>
      <c r="M1117">
        <v>6537</v>
      </c>
      <c r="N1117" t="s">
        <v>26</v>
      </c>
      <c r="O1117" t="s">
        <v>56</v>
      </c>
      <c r="P1117" t="s">
        <v>28</v>
      </c>
      <c r="Q1117">
        <v>35</v>
      </c>
      <c r="R1117">
        <v>13.24</v>
      </c>
    </row>
    <row r="1118" spans="1:18" x14ac:dyDescent="0.3">
      <c r="A1118" t="s">
        <v>2297</v>
      </c>
      <c r="B1118" t="s">
        <v>2298</v>
      </c>
      <c r="C1118" t="s">
        <v>41</v>
      </c>
      <c r="D1118" t="s">
        <v>82</v>
      </c>
      <c r="E1118" s="4">
        <v>43078</v>
      </c>
      <c r="F1118" t="s">
        <v>43</v>
      </c>
      <c r="G1118" t="s">
        <v>44</v>
      </c>
      <c r="H1118" t="s">
        <v>50</v>
      </c>
      <c r="I1118" t="s">
        <v>25</v>
      </c>
      <c r="J1118">
        <v>8</v>
      </c>
      <c r="K1118">
        <v>145</v>
      </c>
      <c r="L1118">
        <v>3542.96</v>
      </c>
      <c r="M1118">
        <v>44753</v>
      </c>
      <c r="N1118" t="s">
        <v>36</v>
      </c>
      <c r="O1118" t="s">
        <v>37</v>
      </c>
      <c r="P1118" t="s">
        <v>51</v>
      </c>
      <c r="Q1118">
        <v>13</v>
      </c>
      <c r="R1118">
        <v>176.2</v>
      </c>
    </row>
    <row r="1119" spans="1:18" x14ac:dyDescent="0.3">
      <c r="A1119" t="s">
        <v>2299</v>
      </c>
      <c r="B1119" t="s">
        <v>2300</v>
      </c>
      <c r="C1119" t="s">
        <v>41</v>
      </c>
      <c r="D1119" t="s">
        <v>32</v>
      </c>
      <c r="E1119" s="4">
        <v>45877</v>
      </c>
      <c r="F1119" t="s">
        <v>60</v>
      </c>
      <c r="G1119" t="s">
        <v>49</v>
      </c>
      <c r="H1119" t="s">
        <v>50</v>
      </c>
      <c r="I1119" t="s">
        <v>51</v>
      </c>
      <c r="J1119">
        <v>2</v>
      </c>
      <c r="K1119">
        <v>489</v>
      </c>
      <c r="L1119">
        <v>2308.5</v>
      </c>
      <c r="M1119">
        <v>34717</v>
      </c>
      <c r="N1119" t="s">
        <v>36</v>
      </c>
      <c r="O1119" t="s">
        <v>27</v>
      </c>
      <c r="P1119" t="s">
        <v>51</v>
      </c>
      <c r="Q1119">
        <v>38</v>
      </c>
      <c r="R1119">
        <v>177.43</v>
      </c>
    </row>
    <row r="1120" spans="1:18" x14ac:dyDescent="0.3">
      <c r="A1120" t="s">
        <v>2301</v>
      </c>
      <c r="B1120" t="s">
        <v>2302</v>
      </c>
      <c r="C1120" t="s">
        <v>68</v>
      </c>
      <c r="D1120" t="s">
        <v>21</v>
      </c>
      <c r="E1120" s="4">
        <v>44084</v>
      </c>
      <c r="F1120" t="s">
        <v>22</v>
      </c>
      <c r="G1120" t="s">
        <v>23</v>
      </c>
      <c r="H1120" t="s">
        <v>34</v>
      </c>
      <c r="I1120" t="s">
        <v>92</v>
      </c>
      <c r="J1120">
        <v>5</v>
      </c>
      <c r="K1120">
        <v>544</v>
      </c>
      <c r="L1120">
        <v>499.78</v>
      </c>
      <c r="M1120">
        <v>4200</v>
      </c>
      <c r="N1120" t="s">
        <v>36</v>
      </c>
      <c r="O1120" t="s">
        <v>27</v>
      </c>
      <c r="P1120" t="s">
        <v>51</v>
      </c>
      <c r="Q1120">
        <v>16</v>
      </c>
      <c r="R1120">
        <v>132.57</v>
      </c>
    </row>
    <row r="1121" spans="1:18" x14ac:dyDescent="0.3">
      <c r="A1121" t="s">
        <v>2303</v>
      </c>
      <c r="B1121" t="s">
        <v>2304</v>
      </c>
      <c r="C1121" t="s">
        <v>68</v>
      </c>
      <c r="D1121" t="s">
        <v>59</v>
      </c>
      <c r="E1121" s="4">
        <v>40903</v>
      </c>
      <c r="F1121" t="s">
        <v>65</v>
      </c>
      <c r="G1121" t="s">
        <v>44</v>
      </c>
      <c r="H1121" t="s">
        <v>34</v>
      </c>
      <c r="I1121" t="s">
        <v>34</v>
      </c>
      <c r="J1121">
        <v>3</v>
      </c>
      <c r="K1121">
        <v>1366</v>
      </c>
      <c r="L1121">
        <v>2157.9</v>
      </c>
      <c r="M1121">
        <v>6488</v>
      </c>
      <c r="N1121" t="s">
        <v>26</v>
      </c>
      <c r="O1121" t="s">
        <v>27</v>
      </c>
      <c r="P1121" t="s">
        <v>25</v>
      </c>
      <c r="Q1121">
        <v>26</v>
      </c>
      <c r="R1121">
        <v>216.55</v>
      </c>
    </row>
    <row r="1122" spans="1:18" x14ac:dyDescent="0.3">
      <c r="A1122" t="s">
        <v>2305</v>
      </c>
      <c r="B1122" t="s">
        <v>2306</v>
      </c>
      <c r="C1122" t="s">
        <v>20</v>
      </c>
      <c r="D1122" t="s">
        <v>59</v>
      </c>
      <c r="E1122" s="4">
        <v>41789</v>
      </c>
      <c r="F1122" t="s">
        <v>48</v>
      </c>
      <c r="G1122" t="s">
        <v>102</v>
      </c>
      <c r="H1122" t="s">
        <v>55</v>
      </c>
      <c r="I1122" t="s">
        <v>76</v>
      </c>
      <c r="J1122">
        <v>6</v>
      </c>
      <c r="K1122">
        <v>66</v>
      </c>
      <c r="L1122">
        <v>2262.29</v>
      </c>
      <c r="M1122">
        <v>42986</v>
      </c>
      <c r="N1122" t="s">
        <v>26</v>
      </c>
      <c r="O1122" t="s">
        <v>62</v>
      </c>
      <c r="P1122" t="s">
        <v>25</v>
      </c>
      <c r="Q1122">
        <v>13</v>
      </c>
      <c r="R1122">
        <v>25.11</v>
      </c>
    </row>
    <row r="1123" spans="1:18" x14ac:dyDescent="0.3">
      <c r="A1123" t="s">
        <v>2307</v>
      </c>
      <c r="B1123" t="s">
        <v>2308</v>
      </c>
      <c r="C1123" t="s">
        <v>97</v>
      </c>
      <c r="D1123" t="s">
        <v>42</v>
      </c>
      <c r="E1123" s="4">
        <v>40936</v>
      </c>
      <c r="F1123" t="s">
        <v>43</v>
      </c>
      <c r="G1123" t="s">
        <v>44</v>
      </c>
      <c r="H1123" t="s">
        <v>70</v>
      </c>
      <c r="I1123" t="s">
        <v>92</v>
      </c>
      <c r="J1123">
        <v>6</v>
      </c>
      <c r="K1123">
        <v>719</v>
      </c>
      <c r="L1123">
        <v>3600.07</v>
      </c>
      <c r="M1123">
        <v>41699</v>
      </c>
      <c r="N1123" t="s">
        <v>26</v>
      </c>
      <c r="O1123" t="s">
        <v>27</v>
      </c>
      <c r="P1123" t="s">
        <v>51</v>
      </c>
      <c r="Q1123">
        <v>34</v>
      </c>
      <c r="R1123">
        <v>208.6</v>
      </c>
    </row>
    <row r="1124" spans="1:18" x14ac:dyDescent="0.3">
      <c r="A1124" t="s">
        <v>2309</v>
      </c>
      <c r="B1124" t="s">
        <v>2310</v>
      </c>
      <c r="C1124" t="s">
        <v>97</v>
      </c>
      <c r="D1124" t="s">
        <v>82</v>
      </c>
      <c r="E1124" s="4">
        <v>42645</v>
      </c>
      <c r="F1124" t="s">
        <v>69</v>
      </c>
      <c r="G1124" t="s">
        <v>33</v>
      </c>
      <c r="H1124" t="s">
        <v>24</v>
      </c>
      <c r="I1124" t="s">
        <v>76</v>
      </c>
      <c r="J1124">
        <v>6</v>
      </c>
      <c r="K1124">
        <v>1263</v>
      </c>
      <c r="L1124">
        <v>3666.24</v>
      </c>
      <c r="M1124">
        <v>493</v>
      </c>
      <c r="N1124" t="s">
        <v>36</v>
      </c>
      <c r="O1124" t="s">
        <v>27</v>
      </c>
      <c r="P1124" t="s">
        <v>25</v>
      </c>
      <c r="Q1124">
        <v>8</v>
      </c>
      <c r="R1124">
        <v>124.29</v>
      </c>
    </row>
    <row r="1125" spans="1:18" x14ac:dyDescent="0.3">
      <c r="A1125" t="s">
        <v>2311</v>
      </c>
      <c r="B1125" t="s">
        <v>2312</v>
      </c>
      <c r="C1125" t="s">
        <v>20</v>
      </c>
      <c r="D1125" t="s">
        <v>109</v>
      </c>
      <c r="E1125" s="4">
        <v>42934</v>
      </c>
      <c r="F1125" t="s">
        <v>65</v>
      </c>
      <c r="G1125" t="s">
        <v>44</v>
      </c>
      <c r="H1125" t="s">
        <v>34</v>
      </c>
      <c r="I1125" t="s">
        <v>92</v>
      </c>
      <c r="J1125">
        <v>8</v>
      </c>
      <c r="K1125">
        <v>1436</v>
      </c>
      <c r="L1125">
        <v>2797.21</v>
      </c>
      <c r="M1125">
        <v>11386</v>
      </c>
      <c r="N1125" t="s">
        <v>61</v>
      </c>
      <c r="O1125" t="s">
        <v>62</v>
      </c>
      <c r="P1125" t="s">
        <v>38</v>
      </c>
      <c r="Q1125">
        <v>44</v>
      </c>
      <c r="R1125">
        <v>42.69</v>
      </c>
    </row>
    <row r="1126" spans="1:18" x14ac:dyDescent="0.3">
      <c r="A1126" t="s">
        <v>2313</v>
      </c>
      <c r="B1126" t="s">
        <v>2314</v>
      </c>
      <c r="C1126" t="s">
        <v>20</v>
      </c>
      <c r="D1126" t="s">
        <v>59</v>
      </c>
      <c r="E1126" s="4">
        <v>44007</v>
      </c>
      <c r="F1126" t="s">
        <v>43</v>
      </c>
      <c r="G1126" t="s">
        <v>44</v>
      </c>
      <c r="H1126" t="s">
        <v>34</v>
      </c>
      <c r="I1126" t="s">
        <v>51</v>
      </c>
      <c r="J1126">
        <v>6</v>
      </c>
      <c r="K1126">
        <v>1348</v>
      </c>
      <c r="L1126">
        <v>2250.02</v>
      </c>
      <c r="M1126">
        <v>1462</v>
      </c>
      <c r="N1126" t="s">
        <v>61</v>
      </c>
      <c r="O1126" t="s">
        <v>62</v>
      </c>
      <c r="P1126" t="s">
        <v>45</v>
      </c>
      <c r="Q1126">
        <v>32</v>
      </c>
      <c r="R1126">
        <v>16.010000000000002</v>
      </c>
    </row>
    <row r="1127" spans="1:18" x14ac:dyDescent="0.3">
      <c r="A1127" t="s">
        <v>2315</v>
      </c>
      <c r="B1127" t="s">
        <v>2316</v>
      </c>
      <c r="C1127" t="s">
        <v>116</v>
      </c>
      <c r="D1127" t="s">
        <v>82</v>
      </c>
      <c r="E1127" s="4">
        <v>41850</v>
      </c>
      <c r="F1127" t="s">
        <v>43</v>
      </c>
      <c r="G1127" t="s">
        <v>102</v>
      </c>
      <c r="H1127" t="s">
        <v>50</v>
      </c>
      <c r="I1127" t="s">
        <v>35</v>
      </c>
      <c r="J1127">
        <v>5</v>
      </c>
      <c r="K1127">
        <v>980</v>
      </c>
      <c r="L1127">
        <v>2604.06</v>
      </c>
      <c r="M1127">
        <v>14081</v>
      </c>
      <c r="N1127" t="s">
        <v>36</v>
      </c>
      <c r="O1127" t="s">
        <v>37</v>
      </c>
      <c r="P1127" t="s">
        <v>25</v>
      </c>
      <c r="Q1127">
        <v>27</v>
      </c>
      <c r="R1127">
        <v>193.42</v>
      </c>
    </row>
    <row r="1128" spans="1:18" x14ac:dyDescent="0.3">
      <c r="A1128" t="s">
        <v>2317</v>
      </c>
      <c r="B1128" t="s">
        <v>2318</v>
      </c>
      <c r="C1128" t="s">
        <v>116</v>
      </c>
      <c r="D1128" t="s">
        <v>32</v>
      </c>
      <c r="E1128" s="4">
        <v>41030</v>
      </c>
      <c r="F1128" t="s">
        <v>65</v>
      </c>
      <c r="G1128" t="s">
        <v>23</v>
      </c>
      <c r="H1128" t="s">
        <v>75</v>
      </c>
      <c r="I1128" t="s">
        <v>35</v>
      </c>
      <c r="J1128">
        <v>6</v>
      </c>
      <c r="K1128">
        <v>1139</v>
      </c>
      <c r="L1128">
        <v>1642.73</v>
      </c>
      <c r="M1128">
        <v>48136</v>
      </c>
      <c r="N1128" t="s">
        <v>36</v>
      </c>
      <c r="O1128" t="s">
        <v>27</v>
      </c>
      <c r="P1128" t="s">
        <v>28</v>
      </c>
      <c r="Q1128">
        <v>5</v>
      </c>
      <c r="R1128">
        <v>159.51</v>
      </c>
    </row>
    <row r="1129" spans="1:18" x14ac:dyDescent="0.3">
      <c r="A1129" t="s">
        <v>2319</v>
      </c>
      <c r="B1129" t="s">
        <v>2320</v>
      </c>
      <c r="C1129" t="s">
        <v>41</v>
      </c>
      <c r="D1129" t="s">
        <v>82</v>
      </c>
      <c r="E1129" s="4">
        <v>43805</v>
      </c>
      <c r="F1129" t="s">
        <v>69</v>
      </c>
      <c r="G1129" t="s">
        <v>83</v>
      </c>
      <c r="H1129" t="s">
        <v>75</v>
      </c>
      <c r="I1129" t="s">
        <v>35</v>
      </c>
      <c r="J1129">
        <v>7</v>
      </c>
      <c r="K1129">
        <v>1022</v>
      </c>
      <c r="L1129">
        <v>2805.59</v>
      </c>
      <c r="M1129">
        <v>30886</v>
      </c>
      <c r="N1129" t="s">
        <v>36</v>
      </c>
      <c r="O1129" t="s">
        <v>56</v>
      </c>
      <c r="P1129" t="s">
        <v>38</v>
      </c>
      <c r="Q1129">
        <v>18</v>
      </c>
      <c r="R1129">
        <v>117.41</v>
      </c>
    </row>
    <row r="1130" spans="1:18" x14ac:dyDescent="0.3">
      <c r="A1130" t="s">
        <v>2321</v>
      </c>
      <c r="B1130" t="s">
        <v>2322</v>
      </c>
      <c r="C1130" t="s">
        <v>41</v>
      </c>
      <c r="D1130" t="s">
        <v>42</v>
      </c>
      <c r="E1130" s="4">
        <v>40905</v>
      </c>
      <c r="F1130" t="s">
        <v>43</v>
      </c>
      <c r="G1130" t="s">
        <v>83</v>
      </c>
      <c r="H1130" t="s">
        <v>55</v>
      </c>
      <c r="I1130" t="s">
        <v>35</v>
      </c>
      <c r="J1130">
        <v>5</v>
      </c>
      <c r="K1130">
        <v>143</v>
      </c>
      <c r="L1130">
        <v>2205.0700000000002</v>
      </c>
      <c r="M1130">
        <v>4148</v>
      </c>
      <c r="N1130" t="s">
        <v>26</v>
      </c>
      <c r="O1130" t="s">
        <v>62</v>
      </c>
      <c r="P1130" t="s">
        <v>52</v>
      </c>
      <c r="Q1130">
        <v>25</v>
      </c>
      <c r="R1130">
        <v>39.97</v>
      </c>
    </row>
    <row r="1131" spans="1:18" x14ac:dyDescent="0.3">
      <c r="A1131" t="s">
        <v>2323</v>
      </c>
      <c r="B1131" t="s">
        <v>2324</v>
      </c>
      <c r="C1131" t="s">
        <v>41</v>
      </c>
      <c r="D1131" t="s">
        <v>109</v>
      </c>
      <c r="E1131" s="4">
        <v>43811</v>
      </c>
      <c r="F1131" t="s">
        <v>60</v>
      </c>
      <c r="G1131" t="s">
        <v>44</v>
      </c>
      <c r="H1131" t="s">
        <v>70</v>
      </c>
      <c r="I1131" t="s">
        <v>34</v>
      </c>
      <c r="J1131">
        <v>2</v>
      </c>
      <c r="K1131">
        <v>1250</v>
      </c>
      <c r="L1131">
        <v>3709.11</v>
      </c>
      <c r="M1131">
        <v>11843</v>
      </c>
      <c r="N1131" t="s">
        <v>36</v>
      </c>
      <c r="O1131" t="s">
        <v>27</v>
      </c>
      <c r="P1131" t="s">
        <v>28</v>
      </c>
      <c r="Q1131">
        <v>12</v>
      </c>
      <c r="R1131">
        <v>242.22</v>
      </c>
    </row>
    <row r="1132" spans="1:18" x14ac:dyDescent="0.3">
      <c r="A1132" t="s">
        <v>2325</v>
      </c>
      <c r="B1132" t="s">
        <v>2326</v>
      </c>
      <c r="C1132" t="s">
        <v>97</v>
      </c>
      <c r="D1132" t="s">
        <v>42</v>
      </c>
      <c r="E1132" s="4">
        <v>41866</v>
      </c>
      <c r="F1132" t="s">
        <v>22</v>
      </c>
      <c r="G1132" t="s">
        <v>44</v>
      </c>
      <c r="H1132" t="s">
        <v>55</v>
      </c>
      <c r="I1132" t="s">
        <v>76</v>
      </c>
      <c r="J1132">
        <v>2</v>
      </c>
      <c r="K1132">
        <v>1476</v>
      </c>
      <c r="L1132">
        <v>1157.8800000000001</v>
      </c>
      <c r="M1132">
        <v>47764</v>
      </c>
      <c r="N1132" t="s">
        <v>61</v>
      </c>
      <c r="O1132" t="s">
        <v>56</v>
      </c>
      <c r="P1132" t="s">
        <v>45</v>
      </c>
      <c r="Q1132">
        <v>36</v>
      </c>
      <c r="R1132">
        <v>212.18</v>
      </c>
    </row>
    <row r="1133" spans="1:18" x14ac:dyDescent="0.3">
      <c r="A1133" t="s">
        <v>2327</v>
      </c>
      <c r="B1133" t="s">
        <v>2328</v>
      </c>
      <c r="C1133" t="s">
        <v>116</v>
      </c>
      <c r="D1133" t="s">
        <v>82</v>
      </c>
      <c r="E1133" s="4">
        <v>45819</v>
      </c>
      <c r="F1133" t="s">
        <v>43</v>
      </c>
      <c r="G1133" t="s">
        <v>49</v>
      </c>
      <c r="H1133" t="s">
        <v>50</v>
      </c>
      <c r="I1133" t="s">
        <v>25</v>
      </c>
      <c r="J1133">
        <v>3</v>
      </c>
      <c r="K1133">
        <v>1316</v>
      </c>
      <c r="L1133">
        <v>3371.71</v>
      </c>
      <c r="M1133">
        <v>17088</v>
      </c>
      <c r="N1133" t="s">
        <v>61</v>
      </c>
      <c r="O1133" t="s">
        <v>27</v>
      </c>
      <c r="P1133" t="s">
        <v>38</v>
      </c>
      <c r="Q1133">
        <v>44</v>
      </c>
      <c r="R1133">
        <v>12.05</v>
      </c>
    </row>
    <row r="1134" spans="1:18" x14ac:dyDescent="0.3">
      <c r="A1134" t="s">
        <v>2329</v>
      </c>
      <c r="B1134" t="s">
        <v>2330</v>
      </c>
      <c r="C1134" t="s">
        <v>68</v>
      </c>
      <c r="D1134" t="s">
        <v>21</v>
      </c>
      <c r="E1134" s="4">
        <v>45929</v>
      </c>
      <c r="F1134" t="s">
        <v>60</v>
      </c>
      <c r="G1134" t="s">
        <v>83</v>
      </c>
      <c r="H1134" t="s">
        <v>55</v>
      </c>
      <c r="I1134" t="s">
        <v>76</v>
      </c>
      <c r="J1134">
        <v>0</v>
      </c>
      <c r="K1134">
        <v>454</v>
      </c>
      <c r="L1134">
        <v>4058.38</v>
      </c>
      <c r="M1134">
        <v>40228</v>
      </c>
      <c r="N1134" t="s">
        <v>61</v>
      </c>
      <c r="O1134" t="s">
        <v>56</v>
      </c>
      <c r="P1134" t="s">
        <v>25</v>
      </c>
      <c r="Q1134">
        <v>4</v>
      </c>
      <c r="R1134">
        <v>223.13</v>
      </c>
    </row>
    <row r="1135" spans="1:18" x14ac:dyDescent="0.3">
      <c r="A1135" t="s">
        <v>2331</v>
      </c>
      <c r="B1135" t="s">
        <v>2332</v>
      </c>
      <c r="C1135" t="s">
        <v>116</v>
      </c>
      <c r="D1135" t="s">
        <v>42</v>
      </c>
      <c r="E1135" s="4">
        <v>44211</v>
      </c>
      <c r="F1135" t="s">
        <v>43</v>
      </c>
      <c r="G1135" t="s">
        <v>44</v>
      </c>
      <c r="H1135" t="s">
        <v>75</v>
      </c>
      <c r="I1135" t="s">
        <v>34</v>
      </c>
      <c r="J1135">
        <v>8</v>
      </c>
      <c r="K1135">
        <v>770</v>
      </c>
      <c r="L1135">
        <v>2152.63</v>
      </c>
      <c r="M1135">
        <v>49519</v>
      </c>
      <c r="N1135" t="s">
        <v>36</v>
      </c>
      <c r="O1135" t="s">
        <v>62</v>
      </c>
      <c r="P1135" t="s">
        <v>25</v>
      </c>
      <c r="Q1135">
        <v>33</v>
      </c>
      <c r="R1135">
        <v>104.1</v>
      </c>
    </row>
    <row r="1136" spans="1:18" x14ac:dyDescent="0.3">
      <c r="A1136" t="s">
        <v>2333</v>
      </c>
      <c r="B1136" t="s">
        <v>2334</v>
      </c>
      <c r="C1136" t="s">
        <v>20</v>
      </c>
      <c r="D1136" t="s">
        <v>82</v>
      </c>
      <c r="E1136" s="4">
        <v>42805</v>
      </c>
      <c r="F1136" t="s">
        <v>22</v>
      </c>
      <c r="G1136" t="s">
        <v>49</v>
      </c>
      <c r="H1136" t="s">
        <v>75</v>
      </c>
      <c r="I1136" t="s">
        <v>92</v>
      </c>
      <c r="J1136">
        <v>1</v>
      </c>
      <c r="K1136">
        <v>44</v>
      </c>
      <c r="L1136">
        <v>3841.87</v>
      </c>
      <c r="M1136">
        <v>32012</v>
      </c>
      <c r="N1136" t="s">
        <v>36</v>
      </c>
      <c r="O1136" t="s">
        <v>37</v>
      </c>
      <c r="P1136" t="s">
        <v>25</v>
      </c>
      <c r="Q1136">
        <v>48</v>
      </c>
      <c r="R1136">
        <v>5.88</v>
      </c>
    </row>
    <row r="1137" spans="1:18" x14ac:dyDescent="0.3">
      <c r="A1137" t="s">
        <v>2335</v>
      </c>
      <c r="B1137" t="s">
        <v>2336</v>
      </c>
      <c r="C1137" t="s">
        <v>31</v>
      </c>
      <c r="D1137" t="s">
        <v>59</v>
      </c>
      <c r="E1137" s="4">
        <v>42500</v>
      </c>
      <c r="F1137" t="s">
        <v>69</v>
      </c>
      <c r="G1137" t="s">
        <v>102</v>
      </c>
      <c r="H1137" t="s">
        <v>50</v>
      </c>
      <c r="I1137" t="s">
        <v>92</v>
      </c>
      <c r="J1137">
        <v>2</v>
      </c>
      <c r="K1137">
        <v>1268</v>
      </c>
      <c r="L1137">
        <v>518.46</v>
      </c>
      <c r="M1137">
        <v>12710</v>
      </c>
      <c r="N1137" t="s">
        <v>26</v>
      </c>
      <c r="O1137" t="s">
        <v>37</v>
      </c>
      <c r="P1137" t="s">
        <v>28</v>
      </c>
      <c r="Q1137">
        <v>33</v>
      </c>
      <c r="R1137">
        <v>212.9</v>
      </c>
    </row>
    <row r="1138" spans="1:18" x14ac:dyDescent="0.3">
      <c r="A1138" t="s">
        <v>2337</v>
      </c>
      <c r="B1138" t="s">
        <v>2338</v>
      </c>
      <c r="C1138" t="s">
        <v>97</v>
      </c>
      <c r="D1138" t="s">
        <v>109</v>
      </c>
      <c r="E1138" s="4">
        <v>43691</v>
      </c>
      <c r="F1138" t="s">
        <v>69</v>
      </c>
      <c r="G1138" t="s">
        <v>102</v>
      </c>
      <c r="H1138" t="s">
        <v>75</v>
      </c>
      <c r="I1138" t="s">
        <v>34</v>
      </c>
      <c r="J1138">
        <v>7</v>
      </c>
      <c r="K1138">
        <v>1322</v>
      </c>
      <c r="L1138">
        <v>4444.47</v>
      </c>
      <c r="M1138">
        <v>18970</v>
      </c>
      <c r="N1138" t="s">
        <v>26</v>
      </c>
      <c r="O1138" t="s">
        <v>27</v>
      </c>
      <c r="P1138" t="s">
        <v>25</v>
      </c>
      <c r="Q1138">
        <v>40</v>
      </c>
      <c r="R1138">
        <v>144.46</v>
      </c>
    </row>
    <row r="1139" spans="1:18" x14ac:dyDescent="0.3">
      <c r="A1139" t="s">
        <v>2339</v>
      </c>
      <c r="B1139" t="s">
        <v>2340</v>
      </c>
      <c r="C1139" t="s">
        <v>97</v>
      </c>
      <c r="D1139" t="s">
        <v>82</v>
      </c>
      <c r="E1139" s="4">
        <v>43281</v>
      </c>
      <c r="F1139" t="s">
        <v>69</v>
      </c>
      <c r="G1139" t="s">
        <v>102</v>
      </c>
      <c r="H1139" t="s">
        <v>34</v>
      </c>
      <c r="I1139" t="s">
        <v>51</v>
      </c>
      <c r="J1139">
        <v>2</v>
      </c>
      <c r="K1139">
        <v>1271</v>
      </c>
      <c r="L1139">
        <v>963.97</v>
      </c>
      <c r="M1139">
        <v>22691</v>
      </c>
      <c r="N1139" t="s">
        <v>26</v>
      </c>
      <c r="O1139" t="s">
        <v>56</v>
      </c>
      <c r="P1139" t="s">
        <v>52</v>
      </c>
      <c r="Q1139">
        <v>33</v>
      </c>
      <c r="R1139">
        <v>28.61</v>
      </c>
    </row>
    <row r="1140" spans="1:18" x14ac:dyDescent="0.3">
      <c r="A1140" t="s">
        <v>2341</v>
      </c>
      <c r="B1140" t="s">
        <v>2342</v>
      </c>
      <c r="C1140" t="s">
        <v>20</v>
      </c>
      <c r="D1140" t="s">
        <v>82</v>
      </c>
      <c r="E1140" s="4">
        <v>46122</v>
      </c>
      <c r="F1140" t="s">
        <v>69</v>
      </c>
      <c r="G1140" t="s">
        <v>102</v>
      </c>
      <c r="H1140" t="s">
        <v>34</v>
      </c>
      <c r="I1140" t="s">
        <v>34</v>
      </c>
      <c r="J1140">
        <v>1</v>
      </c>
      <c r="K1140">
        <v>10</v>
      </c>
      <c r="L1140">
        <v>883.21</v>
      </c>
      <c r="M1140">
        <v>4111</v>
      </c>
      <c r="N1140" t="s">
        <v>61</v>
      </c>
      <c r="O1140" t="s">
        <v>62</v>
      </c>
      <c r="P1140" t="s">
        <v>52</v>
      </c>
      <c r="Q1140">
        <v>2</v>
      </c>
      <c r="R1140">
        <v>150.82</v>
      </c>
    </row>
    <row r="1141" spans="1:18" x14ac:dyDescent="0.3">
      <c r="A1141" t="s">
        <v>2343</v>
      </c>
      <c r="B1141" t="s">
        <v>2344</v>
      </c>
      <c r="C1141" t="s">
        <v>116</v>
      </c>
      <c r="D1141" t="s">
        <v>109</v>
      </c>
      <c r="E1141" s="4">
        <v>41869</v>
      </c>
      <c r="F1141" t="s">
        <v>48</v>
      </c>
      <c r="G1141" t="s">
        <v>33</v>
      </c>
      <c r="H1141" t="s">
        <v>70</v>
      </c>
      <c r="I1141" t="s">
        <v>51</v>
      </c>
      <c r="J1141">
        <v>0</v>
      </c>
      <c r="K1141">
        <v>439</v>
      </c>
      <c r="L1141">
        <v>3617.3</v>
      </c>
      <c r="M1141">
        <v>5888</v>
      </c>
      <c r="N1141" t="s">
        <v>61</v>
      </c>
      <c r="O1141" t="s">
        <v>27</v>
      </c>
      <c r="P1141" t="s">
        <v>25</v>
      </c>
      <c r="Q1141">
        <v>41</v>
      </c>
      <c r="R1141">
        <v>59.15</v>
      </c>
    </row>
    <row r="1142" spans="1:18" x14ac:dyDescent="0.3">
      <c r="A1142" t="s">
        <v>2345</v>
      </c>
      <c r="B1142" t="s">
        <v>2346</v>
      </c>
      <c r="C1142" t="s">
        <v>97</v>
      </c>
      <c r="D1142" t="s">
        <v>21</v>
      </c>
      <c r="E1142" s="4">
        <v>41317</v>
      </c>
      <c r="F1142" t="s">
        <v>65</v>
      </c>
      <c r="G1142" t="s">
        <v>102</v>
      </c>
      <c r="H1142" t="s">
        <v>75</v>
      </c>
      <c r="I1142" t="s">
        <v>34</v>
      </c>
      <c r="J1142">
        <v>3</v>
      </c>
      <c r="K1142">
        <v>619</v>
      </c>
      <c r="L1142">
        <v>3455.02</v>
      </c>
      <c r="M1142">
        <v>31721</v>
      </c>
      <c r="N1142" t="s">
        <v>26</v>
      </c>
      <c r="O1142" t="s">
        <v>27</v>
      </c>
      <c r="P1142" t="s">
        <v>38</v>
      </c>
      <c r="Q1142">
        <v>30</v>
      </c>
      <c r="R1142">
        <v>82.95</v>
      </c>
    </row>
    <row r="1143" spans="1:18" x14ac:dyDescent="0.3">
      <c r="A1143" t="s">
        <v>2347</v>
      </c>
      <c r="B1143" t="s">
        <v>2348</v>
      </c>
      <c r="C1143" t="s">
        <v>68</v>
      </c>
      <c r="D1143" t="s">
        <v>21</v>
      </c>
      <c r="E1143" s="4">
        <v>40258</v>
      </c>
      <c r="F1143" t="s">
        <v>22</v>
      </c>
      <c r="G1143" t="s">
        <v>49</v>
      </c>
      <c r="H1143" t="s">
        <v>50</v>
      </c>
      <c r="I1143" t="s">
        <v>34</v>
      </c>
      <c r="J1143">
        <v>3</v>
      </c>
      <c r="K1143">
        <v>563</v>
      </c>
      <c r="L1143">
        <v>2902.75</v>
      </c>
      <c r="M1143">
        <v>38461</v>
      </c>
      <c r="N1143" t="s">
        <v>36</v>
      </c>
      <c r="O1143" t="s">
        <v>56</v>
      </c>
      <c r="P1143" t="s">
        <v>45</v>
      </c>
      <c r="Q1143">
        <v>46</v>
      </c>
      <c r="R1143">
        <v>10.48</v>
      </c>
    </row>
    <row r="1144" spans="1:18" x14ac:dyDescent="0.3">
      <c r="A1144" t="s">
        <v>2349</v>
      </c>
      <c r="B1144" t="s">
        <v>2350</v>
      </c>
      <c r="C1144" t="s">
        <v>97</v>
      </c>
      <c r="D1144" t="s">
        <v>42</v>
      </c>
      <c r="E1144" s="4">
        <v>45442</v>
      </c>
      <c r="F1144" t="s">
        <v>60</v>
      </c>
      <c r="G1144" t="s">
        <v>44</v>
      </c>
      <c r="H1144" t="s">
        <v>34</v>
      </c>
      <c r="I1144" t="s">
        <v>35</v>
      </c>
      <c r="J1144">
        <v>6</v>
      </c>
      <c r="K1144">
        <v>429</v>
      </c>
      <c r="L1144">
        <v>3439.34</v>
      </c>
      <c r="M1144">
        <v>12026</v>
      </c>
      <c r="N1144" t="s">
        <v>26</v>
      </c>
      <c r="O1144" t="s">
        <v>56</v>
      </c>
      <c r="P1144" t="s">
        <v>45</v>
      </c>
      <c r="Q1144">
        <v>38</v>
      </c>
      <c r="R1144">
        <v>209.86</v>
      </c>
    </row>
    <row r="1145" spans="1:18" x14ac:dyDescent="0.3">
      <c r="A1145" t="s">
        <v>2351</v>
      </c>
      <c r="B1145" t="s">
        <v>2352</v>
      </c>
      <c r="C1145" t="s">
        <v>20</v>
      </c>
      <c r="D1145" t="s">
        <v>32</v>
      </c>
      <c r="E1145" s="4">
        <v>45312</v>
      </c>
      <c r="F1145" t="s">
        <v>65</v>
      </c>
      <c r="G1145" t="s">
        <v>44</v>
      </c>
      <c r="H1145" t="s">
        <v>75</v>
      </c>
      <c r="I1145" t="s">
        <v>92</v>
      </c>
      <c r="J1145">
        <v>5</v>
      </c>
      <c r="K1145">
        <v>1108</v>
      </c>
      <c r="L1145">
        <v>3375.19</v>
      </c>
      <c r="M1145">
        <v>34238</v>
      </c>
      <c r="N1145" t="s">
        <v>26</v>
      </c>
      <c r="O1145" t="s">
        <v>37</v>
      </c>
      <c r="P1145" t="s">
        <v>25</v>
      </c>
      <c r="Q1145">
        <v>16</v>
      </c>
      <c r="R1145">
        <v>118.91</v>
      </c>
    </row>
    <row r="1146" spans="1:18" x14ac:dyDescent="0.3">
      <c r="A1146" t="s">
        <v>2353</v>
      </c>
      <c r="B1146" t="s">
        <v>2354</v>
      </c>
      <c r="C1146" t="s">
        <v>31</v>
      </c>
      <c r="D1146" t="s">
        <v>42</v>
      </c>
      <c r="E1146" s="4">
        <v>41343</v>
      </c>
      <c r="F1146" t="s">
        <v>22</v>
      </c>
      <c r="G1146" t="s">
        <v>23</v>
      </c>
      <c r="H1146" t="s">
        <v>75</v>
      </c>
      <c r="I1146" t="s">
        <v>76</v>
      </c>
      <c r="J1146">
        <v>4</v>
      </c>
      <c r="K1146">
        <v>432</v>
      </c>
      <c r="L1146">
        <v>807.67</v>
      </c>
      <c r="M1146">
        <v>46905</v>
      </c>
      <c r="N1146" t="s">
        <v>36</v>
      </c>
      <c r="O1146" t="s">
        <v>37</v>
      </c>
      <c r="P1146" t="s">
        <v>38</v>
      </c>
      <c r="Q1146">
        <v>44</v>
      </c>
      <c r="R1146">
        <v>159.69999999999999</v>
      </c>
    </row>
    <row r="1147" spans="1:18" x14ac:dyDescent="0.3">
      <c r="A1147" t="s">
        <v>2355</v>
      </c>
      <c r="B1147" t="s">
        <v>2356</v>
      </c>
      <c r="C1147" t="s">
        <v>41</v>
      </c>
      <c r="D1147" t="s">
        <v>21</v>
      </c>
      <c r="E1147" s="4">
        <v>43257</v>
      </c>
      <c r="F1147" t="s">
        <v>60</v>
      </c>
      <c r="G1147" t="s">
        <v>33</v>
      </c>
      <c r="H1147" t="s">
        <v>24</v>
      </c>
      <c r="I1147" t="s">
        <v>51</v>
      </c>
      <c r="J1147">
        <v>8</v>
      </c>
      <c r="K1147">
        <v>132</v>
      </c>
      <c r="L1147">
        <v>4404.96</v>
      </c>
      <c r="M1147">
        <v>16126</v>
      </c>
      <c r="N1147" t="s">
        <v>61</v>
      </c>
      <c r="O1147" t="s">
        <v>27</v>
      </c>
      <c r="P1147" t="s">
        <v>25</v>
      </c>
      <c r="Q1147">
        <v>31</v>
      </c>
      <c r="R1147">
        <v>18.03</v>
      </c>
    </row>
    <row r="1148" spans="1:18" x14ac:dyDescent="0.3">
      <c r="A1148" t="s">
        <v>2357</v>
      </c>
      <c r="B1148" t="s">
        <v>2358</v>
      </c>
      <c r="C1148" t="s">
        <v>97</v>
      </c>
      <c r="D1148" t="s">
        <v>59</v>
      </c>
      <c r="E1148" s="4">
        <v>41839</v>
      </c>
      <c r="F1148" t="s">
        <v>22</v>
      </c>
      <c r="G1148" t="s">
        <v>33</v>
      </c>
      <c r="H1148" t="s">
        <v>34</v>
      </c>
      <c r="I1148" t="s">
        <v>25</v>
      </c>
      <c r="J1148">
        <v>3</v>
      </c>
      <c r="K1148">
        <v>818</v>
      </c>
      <c r="L1148">
        <v>872.99</v>
      </c>
      <c r="M1148">
        <v>1864</v>
      </c>
      <c r="N1148" t="s">
        <v>26</v>
      </c>
      <c r="O1148" t="s">
        <v>37</v>
      </c>
      <c r="P1148" t="s">
        <v>28</v>
      </c>
      <c r="Q1148">
        <v>45</v>
      </c>
      <c r="R1148">
        <v>156.33000000000001</v>
      </c>
    </row>
    <row r="1149" spans="1:18" x14ac:dyDescent="0.3">
      <c r="A1149" t="s">
        <v>2359</v>
      </c>
      <c r="B1149" t="s">
        <v>2360</v>
      </c>
      <c r="C1149" t="s">
        <v>116</v>
      </c>
      <c r="D1149" t="s">
        <v>109</v>
      </c>
      <c r="E1149" s="4">
        <v>42120</v>
      </c>
      <c r="F1149" t="s">
        <v>65</v>
      </c>
      <c r="G1149" t="s">
        <v>49</v>
      </c>
      <c r="H1149" t="s">
        <v>70</v>
      </c>
      <c r="I1149" t="s">
        <v>34</v>
      </c>
      <c r="J1149">
        <v>1</v>
      </c>
      <c r="K1149">
        <v>799</v>
      </c>
      <c r="L1149">
        <v>4402.51</v>
      </c>
      <c r="M1149">
        <v>45276</v>
      </c>
      <c r="N1149" t="s">
        <v>61</v>
      </c>
      <c r="O1149" t="s">
        <v>62</v>
      </c>
      <c r="P1149" t="s">
        <v>52</v>
      </c>
      <c r="Q1149">
        <v>11</v>
      </c>
      <c r="R1149">
        <v>112.16</v>
      </c>
    </row>
    <row r="1150" spans="1:18" x14ac:dyDescent="0.3">
      <c r="A1150" t="s">
        <v>2361</v>
      </c>
      <c r="B1150" t="s">
        <v>2362</v>
      </c>
      <c r="C1150" t="s">
        <v>116</v>
      </c>
      <c r="D1150" t="s">
        <v>42</v>
      </c>
      <c r="E1150" s="4">
        <v>42294</v>
      </c>
      <c r="F1150" t="s">
        <v>60</v>
      </c>
      <c r="G1150" t="s">
        <v>23</v>
      </c>
      <c r="H1150" t="s">
        <v>24</v>
      </c>
      <c r="I1150" t="s">
        <v>34</v>
      </c>
      <c r="J1150">
        <v>5</v>
      </c>
      <c r="K1150">
        <v>1225</v>
      </c>
      <c r="L1150">
        <v>2874.38</v>
      </c>
      <c r="M1150">
        <v>36437</v>
      </c>
      <c r="N1150" t="s">
        <v>61</v>
      </c>
      <c r="O1150" t="s">
        <v>62</v>
      </c>
      <c r="P1150" t="s">
        <v>45</v>
      </c>
      <c r="Q1150">
        <v>29</v>
      </c>
      <c r="R1150">
        <v>86.52</v>
      </c>
    </row>
    <row r="1151" spans="1:18" x14ac:dyDescent="0.3">
      <c r="A1151" t="s">
        <v>2363</v>
      </c>
      <c r="B1151" t="s">
        <v>2364</v>
      </c>
      <c r="C1151" t="s">
        <v>41</v>
      </c>
      <c r="D1151" t="s">
        <v>42</v>
      </c>
      <c r="E1151" s="4">
        <v>43496</v>
      </c>
      <c r="F1151" t="s">
        <v>69</v>
      </c>
      <c r="G1151" t="s">
        <v>49</v>
      </c>
      <c r="H1151" t="s">
        <v>24</v>
      </c>
      <c r="I1151" t="s">
        <v>92</v>
      </c>
      <c r="J1151">
        <v>2</v>
      </c>
      <c r="K1151">
        <v>206</v>
      </c>
      <c r="L1151">
        <v>2902.24</v>
      </c>
      <c r="M1151">
        <v>4235</v>
      </c>
      <c r="N1151" t="s">
        <v>61</v>
      </c>
      <c r="O1151" t="s">
        <v>62</v>
      </c>
      <c r="P1151" t="s">
        <v>45</v>
      </c>
      <c r="Q1151">
        <v>10</v>
      </c>
      <c r="R1151">
        <v>198.57</v>
      </c>
    </row>
    <row r="1152" spans="1:18" x14ac:dyDescent="0.3">
      <c r="A1152" t="s">
        <v>2365</v>
      </c>
      <c r="B1152" t="s">
        <v>2366</v>
      </c>
      <c r="C1152" t="s">
        <v>116</v>
      </c>
      <c r="D1152" t="s">
        <v>32</v>
      </c>
      <c r="E1152" s="4">
        <v>41422</v>
      </c>
      <c r="F1152" t="s">
        <v>48</v>
      </c>
      <c r="G1152" t="s">
        <v>23</v>
      </c>
      <c r="H1152" t="s">
        <v>24</v>
      </c>
      <c r="I1152" t="s">
        <v>92</v>
      </c>
      <c r="J1152">
        <v>7</v>
      </c>
      <c r="K1152">
        <v>500</v>
      </c>
      <c r="L1152">
        <v>573.52</v>
      </c>
      <c r="M1152">
        <v>7711</v>
      </c>
      <c r="N1152" t="s">
        <v>26</v>
      </c>
      <c r="O1152" t="s">
        <v>56</v>
      </c>
      <c r="P1152" t="s">
        <v>28</v>
      </c>
      <c r="Q1152">
        <v>11</v>
      </c>
      <c r="R1152">
        <v>59.09</v>
      </c>
    </row>
    <row r="1153" spans="1:18" x14ac:dyDescent="0.3">
      <c r="A1153" t="s">
        <v>2367</v>
      </c>
      <c r="B1153" t="s">
        <v>2368</v>
      </c>
      <c r="C1153" t="s">
        <v>79</v>
      </c>
      <c r="D1153" t="s">
        <v>59</v>
      </c>
      <c r="E1153" s="4">
        <v>40834</v>
      </c>
      <c r="F1153" t="s">
        <v>60</v>
      </c>
      <c r="G1153" t="s">
        <v>102</v>
      </c>
      <c r="H1153" t="s">
        <v>70</v>
      </c>
      <c r="I1153" t="s">
        <v>51</v>
      </c>
      <c r="J1153">
        <v>0</v>
      </c>
      <c r="K1153">
        <v>691</v>
      </c>
      <c r="L1153">
        <v>3708.68</v>
      </c>
      <c r="M1153">
        <v>47603</v>
      </c>
      <c r="N1153" t="s">
        <v>61</v>
      </c>
      <c r="O1153" t="s">
        <v>27</v>
      </c>
      <c r="P1153" t="s">
        <v>52</v>
      </c>
      <c r="Q1153">
        <v>29</v>
      </c>
      <c r="R1153">
        <v>172.94</v>
      </c>
    </row>
    <row r="1154" spans="1:18" x14ac:dyDescent="0.3">
      <c r="A1154" t="s">
        <v>2369</v>
      </c>
      <c r="B1154" t="s">
        <v>2370</v>
      </c>
      <c r="C1154" t="s">
        <v>20</v>
      </c>
      <c r="D1154" t="s">
        <v>109</v>
      </c>
      <c r="E1154" s="4">
        <v>42192</v>
      </c>
      <c r="F1154" t="s">
        <v>69</v>
      </c>
      <c r="G1154" t="s">
        <v>49</v>
      </c>
      <c r="H1154" t="s">
        <v>24</v>
      </c>
      <c r="I1154" t="s">
        <v>34</v>
      </c>
      <c r="J1154">
        <v>4</v>
      </c>
      <c r="K1154">
        <v>448</v>
      </c>
      <c r="L1154">
        <v>4042.44</v>
      </c>
      <c r="M1154">
        <v>13967</v>
      </c>
      <c r="N1154" t="s">
        <v>36</v>
      </c>
      <c r="O1154" t="s">
        <v>62</v>
      </c>
      <c r="P1154" t="s">
        <v>51</v>
      </c>
      <c r="Q1154">
        <v>19</v>
      </c>
      <c r="R1154">
        <v>40.76</v>
      </c>
    </row>
    <row r="1155" spans="1:18" x14ac:dyDescent="0.3">
      <c r="A1155" t="s">
        <v>2371</v>
      </c>
      <c r="B1155" t="s">
        <v>2372</v>
      </c>
      <c r="C1155" t="s">
        <v>79</v>
      </c>
      <c r="D1155" t="s">
        <v>42</v>
      </c>
      <c r="E1155" s="4">
        <v>45367</v>
      </c>
      <c r="F1155" t="s">
        <v>22</v>
      </c>
      <c r="G1155" t="s">
        <v>23</v>
      </c>
      <c r="H1155" t="s">
        <v>50</v>
      </c>
      <c r="I1155" t="s">
        <v>35</v>
      </c>
      <c r="J1155">
        <v>4</v>
      </c>
      <c r="K1155">
        <v>1480</v>
      </c>
      <c r="L1155">
        <v>4028.78</v>
      </c>
      <c r="M1155">
        <v>21475</v>
      </c>
      <c r="N1155" t="s">
        <v>26</v>
      </c>
      <c r="O1155" t="s">
        <v>27</v>
      </c>
      <c r="P1155" t="s">
        <v>38</v>
      </c>
      <c r="Q1155">
        <v>4</v>
      </c>
      <c r="R1155">
        <v>91.51</v>
      </c>
    </row>
    <row r="1156" spans="1:18" x14ac:dyDescent="0.3">
      <c r="A1156" t="s">
        <v>2373</v>
      </c>
      <c r="B1156" t="s">
        <v>2374</v>
      </c>
      <c r="C1156" t="s">
        <v>97</v>
      </c>
      <c r="D1156" t="s">
        <v>32</v>
      </c>
      <c r="E1156" s="4">
        <v>42609</v>
      </c>
      <c r="F1156" t="s">
        <v>69</v>
      </c>
      <c r="G1156" t="s">
        <v>44</v>
      </c>
      <c r="H1156" t="s">
        <v>24</v>
      </c>
      <c r="I1156" t="s">
        <v>25</v>
      </c>
      <c r="J1156">
        <v>2</v>
      </c>
      <c r="K1156">
        <v>411</v>
      </c>
      <c r="L1156">
        <v>1520.06</v>
      </c>
      <c r="M1156">
        <v>15150</v>
      </c>
      <c r="N1156" t="s">
        <v>36</v>
      </c>
      <c r="O1156" t="s">
        <v>56</v>
      </c>
      <c r="P1156" t="s">
        <v>28</v>
      </c>
      <c r="Q1156">
        <v>8</v>
      </c>
      <c r="R1156">
        <v>192.3</v>
      </c>
    </row>
    <row r="1157" spans="1:18" x14ac:dyDescent="0.3">
      <c r="A1157" t="s">
        <v>2375</v>
      </c>
      <c r="B1157" t="s">
        <v>2376</v>
      </c>
      <c r="C1157" t="s">
        <v>31</v>
      </c>
      <c r="D1157" t="s">
        <v>82</v>
      </c>
      <c r="E1157" s="4">
        <v>41301</v>
      </c>
      <c r="F1157" t="s">
        <v>43</v>
      </c>
      <c r="G1157" t="s">
        <v>23</v>
      </c>
      <c r="H1157" t="s">
        <v>55</v>
      </c>
      <c r="I1157" t="s">
        <v>25</v>
      </c>
      <c r="J1157">
        <v>7</v>
      </c>
      <c r="K1157">
        <v>642</v>
      </c>
      <c r="L1157">
        <v>3858.16</v>
      </c>
      <c r="M1157">
        <v>36552</v>
      </c>
      <c r="N1157" t="s">
        <v>36</v>
      </c>
      <c r="O1157" t="s">
        <v>27</v>
      </c>
      <c r="P1157" t="s">
        <v>38</v>
      </c>
      <c r="Q1157">
        <v>50</v>
      </c>
      <c r="R1157">
        <v>137.9</v>
      </c>
    </row>
    <row r="1158" spans="1:18" x14ac:dyDescent="0.3">
      <c r="A1158" t="s">
        <v>2377</v>
      </c>
      <c r="B1158" t="s">
        <v>2378</v>
      </c>
      <c r="C1158" t="s">
        <v>79</v>
      </c>
      <c r="D1158" t="s">
        <v>42</v>
      </c>
      <c r="E1158" s="4">
        <v>44863</v>
      </c>
      <c r="F1158" t="s">
        <v>22</v>
      </c>
      <c r="G1158" t="s">
        <v>23</v>
      </c>
      <c r="H1158" t="s">
        <v>34</v>
      </c>
      <c r="I1158" t="s">
        <v>35</v>
      </c>
      <c r="J1158">
        <v>6</v>
      </c>
      <c r="K1158">
        <v>650</v>
      </c>
      <c r="L1158">
        <v>4366.82</v>
      </c>
      <c r="M1158">
        <v>8863</v>
      </c>
      <c r="N1158" t="s">
        <v>26</v>
      </c>
      <c r="O1158" t="s">
        <v>37</v>
      </c>
      <c r="P1158" t="s">
        <v>25</v>
      </c>
      <c r="Q1158">
        <v>45</v>
      </c>
      <c r="R1158">
        <v>167.45</v>
      </c>
    </row>
    <row r="1159" spans="1:18" x14ac:dyDescent="0.3">
      <c r="A1159" t="s">
        <v>2379</v>
      </c>
      <c r="B1159" t="s">
        <v>2380</v>
      </c>
      <c r="C1159" t="s">
        <v>79</v>
      </c>
      <c r="D1159" t="s">
        <v>21</v>
      </c>
      <c r="E1159" s="4">
        <v>43991</v>
      </c>
      <c r="F1159" t="s">
        <v>60</v>
      </c>
      <c r="G1159" t="s">
        <v>44</v>
      </c>
      <c r="H1159" t="s">
        <v>75</v>
      </c>
      <c r="I1159" t="s">
        <v>92</v>
      </c>
      <c r="J1159">
        <v>7</v>
      </c>
      <c r="K1159">
        <v>1342</v>
      </c>
      <c r="L1159">
        <v>3022.22</v>
      </c>
      <c r="M1159">
        <v>17599</v>
      </c>
      <c r="N1159" t="s">
        <v>36</v>
      </c>
      <c r="O1159" t="s">
        <v>56</v>
      </c>
      <c r="P1159" t="s">
        <v>25</v>
      </c>
      <c r="Q1159">
        <v>9</v>
      </c>
      <c r="R1159">
        <v>221.45</v>
      </c>
    </row>
    <row r="1160" spans="1:18" x14ac:dyDescent="0.3">
      <c r="A1160" t="s">
        <v>2381</v>
      </c>
      <c r="B1160" t="s">
        <v>2382</v>
      </c>
      <c r="C1160" t="s">
        <v>20</v>
      </c>
      <c r="D1160" t="s">
        <v>42</v>
      </c>
      <c r="E1160" s="4">
        <v>46150</v>
      </c>
      <c r="F1160" t="s">
        <v>48</v>
      </c>
      <c r="G1160" t="s">
        <v>49</v>
      </c>
      <c r="H1160" t="s">
        <v>50</v>
      </c>
      <c r="I1160" t="s">
        <v>34</v>
      </c>
      <c r="J1160">
        <v>3</v>
      </c>
      <c r="K1160">
        <v>620</v>
      </c>
      <c r="L1160">
        <v>2356.02</v>
      </c>
      <c r="M1160">
        <v>22582</v>
      </c>
      <c r="N1160" t="s">
        <v>61</v>
      </c>
      <c r="O1160" t="s">
        <v>27</v>
      </c>
      <c r="P1160" t="s">
        <v>45</v>
      </c>
      <c r="Q1160">
        <v>30</v>
      </c>
      <c r="R1160">
        <v>200.54</v>
      </c>
    </row>
    <row r="1161" spans="1:18" x14ac:dyDescent="0.3">
      <c r="A1161" t="s">
        <v>2383</v>
      </c>
      <c r="B1161" t="s">
        <v>2384</v>
      </c>
      <c r="C1161" t="s">
        <v>116</v>
      </c>
      <c r="D1161" t="s">
        <v>42</v>
      </c>
      <c r="E1161" s="4">
        <v>44328</v>
      </c>
      <c r="F1161" t="s">
        <v>22</v>
      </c>
      <c r="G1161" t="s">
        <v>83</v>
      </c>
      <c r="H1161" t="s">
        <v>24</v>
      </c>
      <c r="I1161" t="s">
        <v>92</v>
      </c>
      <c r="J1161">
        <v>7</v>
      </c>
      <c r="K1161">
        <v>34</v>
      </c>
      <c r="L1161">
        <v>1318.41</v>
      </c>
      <c r="M1161">
        <v>24030</v>
      </c>
      <c r="N1161" t="s">
        <v>61</v>
      </c>
      <c r="O1161" t="s">
        <v>62</v>
      </c>
      <c r="P1161" t="s">
        <v>52</v>
      </c>
      <c r="Q1161">
        <v>22</v>
      </c>
      <c r="R1161">
        <v>0.86</v>
      </c>
    </row>
    <row r="1162" spans="1:18" x14ac:dyDescent="0.3">
      <c r="A1162" t="s">
        <v>2385</v>
      </c>
      <c r="B1162" t="s">
        <v>2386</v>
      </c>
      <c r="C1162" t="s">
        <v>116</v>
      </c>
      <c r="D1162" t="s">
        <v>109</v>
      </c>
      <c r="E1162" s="4">
        <v>40646</v>
      </c>
      <c r="F1162" t="s">
        <v>60</v>
      </c>
      <c r="G1162" t="s">
        <v>83</v>
      </c>
      <c r="H1162" t="s">
        <v>50</v>
      </c>
      <c r="I1162" t="s">
        <v>76</v>
      </c>
      <c r="J1162">
        <v>0</v>
      </c>
      <c r="K1162">
        <v>723</v>
      </c>
      <c r="L1162">
        <v>4316.82</v>
      </c>
      <c r="M1162">
        <v>40677</v>
      </c>
      <c r="N1162" t="s">
        <v>61</v>
      </c>
      <c r="O1162" t="s">
        <v>27</v>
      </c>
      <c r="P1162" t="s">
        <v>45</v>
      </c>
      <c r="Q1162">
        <v>40</v>
      </c>
      <c r="R1162">
        <v>90.06</v>
      </c>
    </row>
    <row r="1163" spans="1:18" x14ac:dyDescent="0.3">
      <c r="A1163" t="s">
        <v>2387</v>
      </c>
      <c r="B1163" t="s">
        <v>2388</v>
      </c>
      <c r="C1163" t="s">
        <v>68</v>
      </c>
      <c r="D1163" t="s">
        <v>21</v>
      </c>
      <c r="E1163" s="4">
        <v>42710</v>
      </c>
      <c r="F1163" t="s">
        <v>22</v>
      </c>
      <c r="G1163" t="s">
        <v>44</v>
      </c>
      <c r="H1163" t="s">
        <v>34</v>
      </c>
      <c r="I1163" t="s">
        <v>35</v>
      </c>
      <c r="J1163">
        <v>5</v>
      </c>
      <c r="K1163">
        <v>1167</v>
      </c>
      <c r="L1163">
        <v>133.54</v>
      </c>
      <c r="M1163">
        <v>24111</v>
      </c>
      <c r="N1163" t="s">
        <v>61</v>
      </c>
      <c r="O1163" t="s">
        <v>37</v>
      </c>
      <c r="P1163" t="s">
        <v>51</v>
      </c>
      <c r="Q1163">
        <v>39</v>
      </c>
      <c r="R1163">
        <v>119.76</v>
      </c>
    </row>
    <row r="1164" spans="1:18" x14ac:dyDescent="0.3">
      <c r="A1164" t="s">
        <v>2389</v>
      </c>
      <c r="B1164" t="s">
        <v>2390</v>
      </c>
      <c r="C1164" t="s">
        <v>68</v>
      </c>
      <c r="D1164" t="s">
        <v>109</v>
      </c>
      <c r="E1164" s="4">
        <v>41734</v>
      </c>
      <c r="F1164" t="s">
        <v>43</v>
      </c>
      <c r="G1164" t="s">
        <v>83</v>
      </c>
      <c r="H1164" t="s">
        <v>70</v>
      </c>
      <c r="I1164" t="s">
        <v>35</v>
      </c>
      <c r="J1164">
        <v>4</v>
      </c>
      <c r="K1164">
        <v>1080</v>
      </c>
      <c r="L1164">
        <v>3610.98</v>
      </c>
      <c r="M1164">
        <v>34204</v>
      </c>
      <c r="N1164" t="s">
        <v>61</v>
      </c>
      <c r="O1164" t="s">
        <v>56</v>
      </c>
      <c r="P1164" t="s">
        <v>52</v>
      </c>
      <c r="Q1164">
        <v>37</v>
      </c>
      <c r="R1164">
        <v>33.24</v>
      </c>
    </row>
    <row r="1165" spans="1:18" x14ac:dyDescent="0.3">
      <c r="A1165" t="s">
        <v>2391</v>
      </c>
      <c r="B1165" t="s">
        <v>2392</v>
      </c>
      <c r="C1165" t="s">
        <v>79</v>
      </c>
      <c r="D1165" t="s">
        <v>82</v>
      </c>
      <c r="E1165" s="4">
        <v>40733</v>
      </c>
      <c r="F1165" t="s">
        <v>60</v>
      </c>
      <c r="G1165" t="s">
        <v>44</v>
      </c>
      <c r="H1165" t="s">
        <v>70</v>
      </c>
      <c r="I1165" t="s">
        <v>92</v>
      </c>
      <c r="J1165">
        <v>8</v>
      </c>
      <c r="K1165">
        <v>455</v>
      </c>
      <c r="L1165">
        <v>3801.34</v>
      </c>
      <c r="M1165">
        <v>40771</v>
      </c>
      <c r="N1165" t="s">
        <v>26</v>
      </c>
      <c r="O1165" t="s">
        <v>56</v>
      </c>
      <c r="P1165" t="s">
        <v>51</v>
      </c>
      <c r="Q1165">
        <v>17</v>
      </c>
      <c r="R1165">
        <v>74.97</v>
      </c>
    </row>
    <row r="1166" spans="1:18" x14ac:dyDescent="0.3">
      <c r="A1166" t="s">
        <v>2393</v>
      </c>
      <c r="B1166" t="s">
        <v>2394</v>
      </c>
      <c r="C1166" t="s">
        <v>79</v>
      </c>
      <c r="D1166" t="s">
        <v>21</v>
      </c>
      <c r="E1166" s="4">
        <v>44619</v>
      </c>
      <c r="F1166" t="s">
        <v>65</v>
      </c>
      <c r="G1166" t="s">
        <v>44</v>
      </c>
      <c r="H1166" t="s">
        <v>24</v>
      </c>
      <c r="I1166" t="s">
        <v>92</v>
      </c>
      <c r="J1166">
        <v>6</v>
      </c>
      <c r="K1166">
        <v>1429</v>
      </c>
      <c r="L1166">
        <v>954.13</v>
      </c>
      <c r="M1166">
        <v>23680</v>
      </c>
      <c r="N1166" t="s">
        <v>61</v>
      </c>
      <c r="O1166" t="s">
        <v>37</v>
      </c>
      <c r="P1166" t="s">
        <v>52</v>
      </c>
      <c r="Q1166">
        <v>43</v>
      </c>
      <c r="R1166">
        <v>220.6</v>
      </c>
    </row>
    <row r="1167" spans="1:18" x14ac:dyDescent="0.3">
      <c r="A1167" t="s">
        <v>2395</v>
      </c>
      <c r="B1167" t="s">
        <v>2396</v>
      </c>
      <c r="C1167" t="s">
        <v>20</v>
      </c>
      <c r="D1167" t="s">
        <v>82</v>
      </c>
      <c r="E1167" s="4">
        <v>42491</v>
      </c>
      <c r="F1167" t="s">
        <v>43</v>
      </c>
      <c r="G1167" t="s">
        <v>102</v>
      </c>
      <c r="H1167" t="s">
        <v>34</v>
      </c>
      <c r="I1167" t="s">
        <v>34</v>
      </c>
      <c r="J1167">
        <v>8</v>
      </c>
      <c r="K1167">
        <v>480</v>
      </c>
      <c r="L1167">
        <v>98.02</v>
      </c>
      <c r="M1167">
        <v>5453</v>
      </c>
      <c r="N1167" t="s">
        <v>26</v>
      </c>
      <c r="O1167" t="s">
        <v>62</v>
      </c>
      <c r="P1167" t="s">
        <v>38</v>
      </c>
      <c r="Q1167">
        <v>37</v>
      </c>
      <c r="R1167">
        <v>122.39</v>
      </c>
    </row>
    <row r="1168" spans="1:18" x14ac:dyDescent="0.3">
      <c r="A1168" t="s">
        <v>2397</v>
      </c>
      <c r="B1168" t="s">
        <v>2398</v>
      </c>
      <c r="C1168" t="s">
        <v>20</v>
      </c>
      <c r="D1168" t="s">
        <v>42</v>
      </c>
      <c r="E1168" s="4">
        <v>44274</v>
      </c>
      <c r="F1168" t="s">
        <v>22</v>
      </c>
      <c r="G1168" t="s">
        <v>44</v>
      </c>
      <c r="H1168" t="s">
        <v>50</v>
      </c>
      <c r="I1168" t="s">
        <v>76</v>
      </c>
      <c r="J1168">
        <v>4</v>
      </c>
      <c r="K1168">
        <v>633</v>
      </c>
      <c r="L1168">
        <v>2931.14</v>
      </c>
      <c r="M1168">
        <v>27516</v>
      </c>
      <c r="N1168" t="s">
        <v>36</v>
      </c>
      <c r="O1168" t="s">
        <v>62</v>
      </c>
      <c r="P1168" t="s">
        <v>51</v>
      </c>
      <c r="Q1168">
        <v>49</v>
      </c>
      <c r="R1168">
        <v>100.8</v>
      </c>
    </row>
    <row r="1169" spans="1:18" x14ac:dyDescent="0.3">
      <c r="A1169" t="s">
        <v>2399</v>
      </c>
      <c r="B1169" t="s">
        <v>2400</v>
      </c>
      <c r="C1169" t="s">
        <v>79</v>
      </c>
      <c r="D1169" t="s">
        <v>42</v>
      </c>
      <c r="E1169" s="4">
        <v>41999</v>
      </c>
      <c r="F1169" t="s">
        <v>43</v>
      </c>
      <c r="G1169" t="s">
        <v>49</v>
      </c>
      <c r="H1169" t="s">
        <v>70</v>
      </c>
      <c r="I1169" t="s">
        <v>34</v>
      </c>
      <c r="J1169">
        <v>7</v>
      </c>
      <c r="K1169">
        <v>842</v>
      </c>
      <c r="L1169">
        <v>1900.09</v>
      </c>
      <c r="M1169">
        <v>43974</v>
      </c>
      <c r="N1169" t="s">
        <v>36</v>
      </c>
      <c r="O1169" t="s">
        <v>27</v>
      </c>
      <c r="P1169" t="s">
        <v>28</v>
      </c>
      <c r="Q1169">
        <v>13</v>
      </c>
      <c r="R1169">
        <v>148.27000000000001</v>
      </c>
    </row>
    <row r="1170" spans="1:18" x14ac:dyDescent="0.3">
      <c r="A1170" t="s">
        <v>2401</v>
      </c>
      <c r="B1170" t="s">
        <v>2402</v>
      </c>
      <c r="C1170" t="s">
        <v>79</v>
      </c>
      <c r="D1170" t="s">
        <v>32</v>
      </c>
      <c r="E1170" s="4">
        <v>43074</v>
      </c>
      <c r="F1170" t="s">
        <v>65</v>
      </c>
      <c r="G1170" t="s">
        <v>49</v>
      </c>
      <c r="H1170" t="s">
        <v>70</v>
      </c>
      <c r="I1170" t="s">
        <v>51</v>
      </c>
      <c r="J1170">
        <v>2</v>
      </c>
      <c r="K1170">
        <v>252</v>
      </c>
      <c r="L1170">
        <v>2551.44</v>
      </c>
      <c r="M1170">
        <v>6367</v>
      </c>
      <c r="N1170" t="s">
        <v>61</v>
      </c>
      <c r="O1170" t="s">
        <v>27</v>
      </c>
      <c r="P1170" t="s">
        <v>45</v>
      </c>
      <c r="Q1170">
        <v>23</v>
      </c>
      <c r="R1170">
        <v>41.11</v>
      </c>
    </row>
    <row r="1171" spans="1:18" x14ac:dyDescent="0.3">
      <c r="A1171" t="s">
        <v>2403</v>
      </c>
      <c r="B1171" t="s">
        <v>2404</v>
      </c>
      <c r="C1171" t="s">
        <v>116</v>
      </c>
      <c r="D1171" t="s">
        <v>82</v>
      </c>
      <c r="E1171" s="4">
        <v>41643</v>
      </c>
      <c r="F1171" t="s">
        <v>43</v>
      </c>
      <c r="G1171" t="s">
        <v>83</v>
      </c>
      <c r="H1171" t="s">
        <v>75</v>
      </c>
      <c r="I1171" t="s">
        <v>92</v>
      </c>
      <c r="J1171">
        <v>0</v>
      </c>
      <c r="K1171">
        <v>959</v>
      </c>
      <c r="L1171">
        <v>2756.72</v>
      </c>
      <c r="M1171">
        <v>20105</v>
      </c>
      <c r="N1171" t="s">
        <v>26</v>
      </c>
      <c r="O1171" t="s">
        <v>27</v>
      </c>
      <c r="P1171" t="s">
        <v>28</v>
      </c>
      <c r="Q1171">
        <v>17</v>
      </c>
      <c r="R1171">
        <v>115.15</v>
      </c>
    </row>
    <row r="1172" spans="1:18" x14ac:dyDescent="0.3">
      <c r="A1172" t="s">
        <v>2405</v>
      </c>
      <c r="B1172" t="s">
        <v>2406</v>
      </c>
      <c r="C1172" t="s">
        <v>31</v>
      </c>
      <c r="D1172" t="s">
        <v>59</v>
      </c>
      <c r="E1172" s="4">
        <v>42113</v>
      </c>
      <c r="F1172" t="s">
        <v>22</v>
      </c>
      <c r="G1172" t="s">
        <v>102</v>
      </c>
      <c r="H1172" t="s">
        <v>75</v>
      </c>
      <c r="I1172" t="s">
        <v>51</v>
      </c>
      <c r="J1172">
        <v>3</v>
      </c>
      <c r="K1172">
        <v>1139</v>
      </c>
      <c r="L1172">
        <v>2913.77</v>
      </c>
      <c r="M1172">
        <v>45245</v>
      </c>
      <c r="N1172" t="s">
        <v>61</v>
      </c>
      <c r="O1172" t="s">
        <v>27</v>
      </c>
      <c r="P1172" t="s">
        <v>45</v>
      </c>
      <c r="Q1172">
        <v>40</v>
      </c>
      <c r="R1172">
        <v>36.700000000000003</v>
      </c>
    </row>
    <row r="1173" spans="1:18" x14ac:dyDescent="0.3">
      <c r="A1173" t="s">
        <v>2407</v>
      </c>
      <c r="B1173" t="s">
        <v>2408</v>
      </c>
      <c r="C1173" t="s">
        <v>41</v>
      </c>
      <c r="D1173" t="s">
        <v>32</v>
      </c>
      <c r="E1173" s="4">
        <v>43257</v>
      </c>
      <c r="F1173" t="s">
        <v>48</v>
      </c>
      <c r="G1173" t="s">
        <v>23</v>
      </c>
      <c r="H1173" t="s">
        <v>50</v>
      </c>
      <c r="I1173" t="s">
        <v>76</v>
      </c>
      <c r="J1173">
        <v>6</v>
      </c>
      <c r="K1173">
        <v>1176</v>
      </c>
      <c r="L1173">
        <v>332.52</v>
      </c>
      <c r="M1173">
        <v>25820</v>
      </c>
      <c r="N1173" t="s">
        <v>61</v>
      </c>
      <c r="O1173" t="s">
        <v>37</v>
      </c>
      <c r="P1173" t="s">
        <v>25</v>
      </c>
      <c r="Q1173">
        <v>19</v>
      </c>
      <c r="R1173">
        <v>60.33</v>
      </c>
    </row>
    <row r="1174" spans="1:18" x14ac:dyDescent="0.3">
      <c r="A1174" t="s">
        <v>2409</v>
      </c>
      <c r="B1174" t="s">
        <v>2410</v>
      </c>
      <c r="C1174" t="s">
        <v>20</v>
      </c>
      <c r="D1174" t="s">
        <v>42</v>
      </c>
      <c r="E1174" s="4">
        <v>40989</v>
      </c>
      <c r="F1174" t="s">
        <v>65</v>
      </c>
      <c r="G1174" t="s">
        <v>44</v>
      </c>
      <c r="H1174" t="s">
        <v>24</v>
      </c>
      <c r="I1174" t="s">
        <v>25</v>
      </c>
      <c r="J1174">
        <v>3</v>
      </c>
      <c r="K1174">
        <v>741</v>
      </c>
      <c r="L1174">
        <v>3619.76</v>
      </c>
      <c r="M1174">
        <v>41703</v>
      </c>
      <c r="N1174" t="s">
        <v>26</v>
      </c>
      <c r="O1174" t="s">
        <v>56</v>
      </c>
      <c r="P1174" t="s">
        <v>51</v>
      </c>
      <c r="Q1174">
        <v>43</v>
      </c>
      <c r="R1174">
        <v>207.63</v>
      </c>
    </row>
    <row r="1175" spans="1:18" x14ac:dyDescent="0.3">
      <c r="A1175" t="s">
        <v>2411</v>
      </c>
      <c r="B1175" t="s">
        <v>2412</v>
      </c>
      <c r="C1175" t="s">
        <v>41</v>
      </c>
      <c r="D1175" t="s">
        <v>59</v>
      </c>
      <c r="E1175" s="4">
        <v>40722</v>
      </c>
      <c r="F1175" t="s">
        <v>43</v>
      </c>
      <c r="G1175" t="s">
        <v>83</v>
      </c>
      <c r="H1175" t="s">
        <v>70</v>
      </c>
      <c r="I1175" t="s">
        <v>92</v>
      </c>
      <c r="J1175">
        <v>5</v>
      </c>
      <c r="K1175">
        <v>307</v>
      </c>
      <c r="L1175">
        <v>4871.68</v>
      </c>
      <c r="M1175">
        <v>46586</v>
      </c>
      <c r="N1175" t="s">
        <v>61</v>
      </c>
      <c r="O1175" t="s">
        <v>56</v>
      </c>
      <c r="P1175" t="s">
        <v>51</v>
      </c>
      <c r="Q1175">
        <v>35</v>
      </c>
      <c r="R1175">
        <v>9.4</v>
      </c>
    </row>
    <row r="1176" spans="1:18" x14ac:dyDescent="0.3">
      <c r="A1176" t="s">
        <v>2413</v>
      </c>
      <c r="B1176" t="s">
        <v>2414</v>
      </c>
      <c r="C1176" t="s">
        <v>31</v>
      </c>
      <c r="D1176" t="s">
        <v>21</v>
      </c>
      <c r="E1176" s="4">
        <v>44331</v>
      </c>
      <c r="F1176" t="s">
        <v>48</v>
      </c>
      <c r="G1176" t="s">
        <v>83</v>
      </c>
      <c r="H1176" t="s">
        <v>70</v>
      </c>
      <c r="I1176" t="s">
        <v>76</v>
      </c>
      <c r="J1176">
        <v>2</v>
      </c>
      <c r="K1176">
        <v>938</v>
      </c>
      <c r="L1176">
        <v>4623.84</v>
      </c>
      <c r="M1176">
        <v>22424</v>
      </c>
      <c r="N1176" t="s">
        <v>26</v>
      </c>
      <c r="O1176" t="s">
        <v>62</v>
      </c>
      <c r="P1176" t="s">
        <v>45</v>
      </c>
      <c r="Q1176">
        <v>22</v>
      </c>
      <c r="R1176">
        <v>117.35</v>
      </c>
    </row>
    <row r="1177" spans="1:18" x14ac:dyDescent="0.3">
      <c r="A1177" t="s">
        <v>2415</v>
      </c>
      <c r="B1177" t="s">
        <v>2416</v>
      </c>
      <c r="C1177" t="s">
        <v>41</v>
      </c>
      <c r="D1177" t="s">
        <v>32</v>
      </c>
      <c r="E1177" s="4">
        <v>42821</v>
      </c>
      <c r="F1177" t="s">
        <v>65</v>
      </c>
      <c r="G1177" t="s">
        <v>33</v>
      </c>
      <c r="H1177" t="s">
        <v>70</v>
      </c>
      <c r="I1177" t="s">
        <v>51</v>
      </c>
      <c r="J1177">
        <v>4</v>
      </c>
      <c r="K1177">
        <v>1455</v>
      </c>
      <c r="L1177">
        <v>942.65</v>
      </c>
      <c r="M1177">
        <v>38089</v>
      </c>
      <c r="N1177" t="s">
        <v>36</v>
      </c>
      <c r="O1177" t="s">
        <v>56</v>
      </c>
      <c r="P1177" t="s">
        <v>45</v>
      </c>
      <c r="Q1177">
        <v>21</v>
      </c>
      <c r="R1177">
        <v>54.98</v>
      </c>
    </row>
    <row r="1178" spans="1:18" x14ac:dyDescent="0.3">
      <c r="A1178" t="s">
        <v>2417</v>
      </c>
      <c r="B1178" t="s">
        <v>2418</v>
      </c>
      <c r="C1178" t="s">
        <v>31</v>
      </c>
      <c r="D1178" t="s">
        <v>21</v>
      </c>
      <c r="E1178" s="4">
        <v>41424</v>
      </c>
      <c r="F1178" t="s">
        <v>69</v>
      </c>
      <c r="G1178" t="s">
        <v>102</v>
      </c>
      <c r="H1178" t="s">
        <v>55</v>
      </c>
      <c r="I1178" t="s">
        <v>35</v>
      </c>
      <c r="J1178">
        <v>6</v>
      </c>
      <c r="K1178">
        <v>867</v>
      </c>
      <c r="L1178">
        <v>4268.88</v>
      </c>
      <c r="M1178">
        <v>29612</v>
      </c>
      <c r="N1178" t="s">
        <v>26</v>
      </c>
      <c r="O1178" t="s">
        <v>27</v>
      </c>
      <c r="P1178" t="s">
        <v>45</v>
      </c>
      <c r="Q1178">
        <v>25</v>
      </c>
      <c r="R1178">
        <v>72.06</v>
      </c>
    </row>
    <row r="1179" spans="1:18" x14ac:dyDescent="0.3">
      <c r="A1179" t="s">
        <v>2419</v>
      </c>
      <c r="B1179" t="s">
        <v>2420</v>
      </c>
      <c r="C1179" t="s">
        <v>20</v>
      </c>
      <c r="D1179" t="s">
        <v>32</v>
      </c>
      <c r="E1179" s="4">
        <v>46134</v>
      </c>
      <c r="F1179" t="s">
        <v>65</v>
      </c>
      <c r="G1179" t="s">
        <v>33</v>
      </c>
      <c r="H1179" t="s">
        <v>75</v>
      </c>
      <c r="I1179" t="s">
        <v>76</v>
      </c>
      <c r="J1179">
        <v>6</v>
      </c>
      <c r="K1179">
        <v>1060</v>
      </c>
      <c r="L1179">
        <v>3811.95</v>
      </c>
      <c r="M1179">
        <v>25788</v>
      </c>
      <c r="N1179" t="s">
        <v>61</v>
      </c>
      <c r="O1179" t="s">
        <v>56</v>
      </c>
      <c r="P1179" t="s">
        <v>25</v>
      </c>
      <c r="Q1179">
        <v>7</v>
      </c>
      <c r="R1179">
        <v>170.6</v>
      </c>
    </row>
    <row r="1180" spans="1:18" x14ac:dyDescent="0.3">
      <c r="A1180" t="s">
        <v>2421</v>
      </c>
      <c r="B1180" t="s">
        <v>2422</v>
      </c>
      <c r="C1180" t="s">
        <v>31</v>
      </c>
      <c r="D1180" t="s">
        <v>109</v>
      </c>
      <c r="E1180" s="4">
        <v>44743</v>
      </c>
      <c r="F1180" t="s">
        <v>48</v>
      </c>
      <c r="G1180" t="s">
        <v>33</v>
      </c>
      <c r="H1180" t="s">
        <v>24</v>
      </c>
      <c r="I1180" t="s">
        <v>34</v>
      </c>
      <c r="J1180">
        <v>1</v>
      </c>
      <c r="K1180">
        <v>986</v>
      </c>
      <c r="L1180">
        <v>3832.4</v>
      </c>
      <c r="M1180">
        <v>4363</v>
      </c>
      <c r="N1180" t="s">
        <v>36</v>
      </c>
      <c r="O1180" t="s">
        <v>37</v>
      </c>
      <c r="P1180" t="s">
        <v>25</v>
      </c>
      <c r="Q1180">
        <v>50</v>
      </c>
      <c r="R1180">
        <v>23.66</v>
      </c>
    </row>
    <row r="1181" spans="1:18" x14ac:dyDescent="0.3">
      <c r="A1181" t="s">
        <v>2423</v>
      </c>
      <c r="B1181" t="s">
        <v>2424</v>
      </c>
      <c r="C1181" t="s">
        <v>97</v>
      </c>
      <c r="D1181" t="s">
        <v>32</v>
      </c>
      <c r="E1181" s="4">
        <v>40240</v>
      </c>
      <c r="F1181" t="s">
        <v>48</v>
      </c>
      <c r="G1181" t="s">
        <v>49</v>
      </c>
      <c r="H1181" t="s">
        <v>24</v>
      </c>
      <c r="I1181" t="s">
        <v>92</v>
      </c>
      <c r="J1181">
        <v>5</v>
      </c>
      <c r="K1181">
        <v>588</v>
      </c>
      <c r="L1181">
        <v>429.7</v>
      </c>
      <c r="M1181">
        <v>8098</v>
      </c>
      <c r="N1181" t="s">
        <v>26</v>
      </c>
      <c r="O1181" t="s">
        <v>62</v>
      </c>
      <c r="P1181" t="s">
        <v>45</v>
      </c>
      <c r="Q1181">
        <v>28</v>
      </c>
      <c r="R1181">
        <v>109.44</v>
      </c>
    </row>
    <row r="1182" spans="1:18" x14ac:dyDescent="0.3">
      <c r="A1182" t="s">
        <v>2425</v>
      </c>
      <c r="B1182" t="s">
        <v>2426</v>
      </c>
      <c r="C1182" t="s">
        <v>41</v>
      </c>
      <c r="D1182" t="s">
        <v>42</v>
      </c>
      <c r="E1182" s="4">
        <v>41913</v>
      </c>
      <c r="F1182" t="s">
        <v>65</v>
      </c>
      <c r="G1182" t="s">
        <v>102</v>
      </c>
      <c r="H1182" t="s">
        <v>70</v>
      </c>
      <c r="I1182" t="s">
        <v>76</v>
      </c>
      <c r="J1182">
        <v>8</v>
      </c>
      <c r="K1182">
        <v>363</v>
      </c>
      <c r="L1182">
        <v>4185.87</v>
      </c>
      <c r="M1182">
        <v>26403</v>
      </c>
      <c r="N1182" t="s">
        <v>61</v>
      </c>
      <c r="O1182" t="s">
        <v>62</v>
      </c>
      <c r="P1182" t="s">
        <v>52</v>
      </c>
      <c r="Q1182">
        <v>38</v>
      </c>
      <c r="R1182">
        <v>143.09</v>
      </c>
    </row>
    <row r="1183" spans="1:18" x14ac:dyDescent="0.3">
      <c r="A1183" t="s">
        <v>2427</v>
      </c>
      <c r="B1183" t="s">
        <v>2428</v>
      </c>
      <c r="C1183" t="s">
        <v>97</v>
      </c>
      <c r="D1183" t="s">
        <v>109</v>
      </c>
      <c r="E1183" s="4">
        <v>42402</v>
      </c>
      <c r="F1183" t="s">
        <v>22</v>
      </c>
      <c r="G1183" t="s">
        <v>33</v>
      </c>
      <c r="H1183" t="s">
        <v>75</v>
      </c>
      <c r="I1183" t="s">
        <v>76</v>
      </c>
      <c r="J1183">
        <v>7</v>
      </c>
      <c r="K1183">
        <v>621</v>
      </c>
      <c r="L1183">
        <v>359.07</v>
      </c>
      <c r="M1183">
        <v>30882</v>
      </c>
      <c r="N1183" t="s">
        <v>61</v>
      </c>
      <c r="O1183" t="s">
        <v>62</v>
      </c>
      <c r="P1183" t="s">
        <v>28</v>
      </c>
      <c r="Q1183">
        <v>8</v>
      </c>
      <c r="R1183">
        <v>65.84</v>
      </c>
    </row>
    <row r="1184" spans="1:18" x14ac:dyDescent="0.3">
      <c r="A1184" t="s">
        <v>2429</v>
      </c>
      <c r="B1184" t="s">
        <v>2430</v>
      </c>
      <c r="C1184" t="s">
        <v>31</v>
      </c>
      <c r="D1184" t="s">
        <v>59</v>
      </c>
      <c r="E1184" s="4">
        <v>41475</v>
      </c>
      <c r="F1184" t="s">
        <v>43</v>
      </c>
      <c r="G1184" t="s">
        <v>44</v>
      </c>
      <c r="H1184" t="s">
        <v>34</v>
      </c>
      <c r="I1184" t="s">
        <v>25</v>
      </c>
      <c r="J1184">
        <v>1</v>
      </c>
      <c r="K1184">
        <v>886</v>
      </c>
      <c r="L1184">
        <v>2974.11</v>
      </c>
      <c r="M1184">
        <v>42484</v>
      </c>
      <c r="N1184" t="s">
        <v>26</v>
      </c>
      <c r="O1184" t="s">
        <v>62</v>
      </c>
      <c r="P1184" t="s">
        <v>52</v>
      </c>
      <c r="Q1184">
        <v>24</v>
      </c>
      <c r="R1184">
        <v>188.25</v>
      </c>
    </row>
    <row r="1185" spans="1:18" x14ac:dyDescent="0.3">
      <c r="A1185" t="s">
        <v>2431</v>
      </c>
      <c r="B1185" t="s">
        <v>2432</v>
      </c>
      <c r="C1185" t="s">
        <v>116</v>
      </c>
      <c r="D1185" t="s">
        <v>109</v>
      </c>
      <c r="E1185" s="4">
        <v>41745</v>
      </c>
      <c r="F1185" t="s">
        <v>65</v>
      </c>
      <c r="G1185" t="s">
        <v>33</v>
      </c>
      <c r="H1185" t="s">
        <v>55</v>
      </c>
      <c r="I1185" t="s">
        <v>51</v>
      </c>
      <c r="J1185">
        <v>2</v>
      </c>
      <c r="K1185">
        <v>628</v>
      </c>
      <c r="L1185">
        <v>4786.63</v>
      </c>
      <c r="M1185">
        <v>28715</v>
      </c>
      <c r="N1185" t="s">
        <v>36</v>
      </c>
      <c r="O1185" t="s">
        <v>62</v>
      </c>
      <c r="P1185" t="s">
        <v>28</v>
      </c>
      <c r="Q1185">
        <v>24</v>
      </c>
      <c r="R1185">
        <v>75.33</v>
      </c>
    </row>
    <row r="1186" spans="1:18" x14ac:dyDescent="0.3">
      <c r="A1186" t="s">
        <v>2433</v>
      </c>
      <c r="B1186" t="s">
        <v>2434</v>
      </c>
      <c r="C1186" t="s">
        <v>68</v>
      </c>
      <c r="D1186" t="s">
        <v>32</v>
      </c>
      <c r="E1186" s="4">
        <v>45178</v>
      </c>
      <c r="F1186" t="s">
        <v>60</v>
      </c>
      <c r="G1186" t="s">
        <v>83</v>
      </c>
      <c r="H1186" t="s">
        <v>75</v>
      </c>
      <c r="I1186" t="s">
        <v>92</v>
      </c>
      <c r="J1186">
        <v>2</v>
      </c>
      <c r="K1186">
        <v>1451</v>
      </c>
      <c r="L1186">
        <v>3021.79</v>
      </c>
      <c r="M1186">
        <v>3748</v>
      </c>
      <c r="N1186" t="s">
        <v>26</v>
      </c>
      <c r="O1186" t="s">
        <v>27</v>
      </c>
      <c r="P1186" t="s">
        <v>45</v>
      </c>
      <c r="Q1186">
        <v>14</v>
      </c>
      <c r="R1186">
        <v>231.81</v>
      </c>
    </row>
    <row r="1187" spans="1:18" x14ac:dyDescent="0.3">
      <c r="A1187" t="s">
        <v>2435</v>
      </c>
      <c r="B1187" t="s">
        <v>2436</v>
      </c>
      <c r="C1187" t="s">
        <v>79</v>
      </c>
      <c r="D1187" t="s">
        <v>82</v>
      </c>
      <c r="E1187" s="4">
        <v>43499</v>
      </c>
      <c r="F1187" t="s">
        <v>65</v>
      </c>
      <c r="G1187" t="s">
        <v>23</v>
      </c>
      <c r="H1187" t="s">
        <v>34</v>
      </c>
      <c r="I1187" t="s">
        <v>25</v>
      </c>
      <c r="J1187">
        <v>5</v>
      </c>
      <c r="K1187">
        <v>263</v>
      </c>
      <c r="L1187">
        <v>3597.17</v>
      </c>
      <c r="M1187">
        <v>44904</v>
      </c>
      <c r="N1187" t="s">
        <v>26</v>
      </c>
      <c r="O1187" t="s">
        <v>37</v>
      </c>
      <c r="P1187" t="s">
        <v>38</v>
      </c>
      <c r="Q1187">
        <v>28</v>
      </c>
      <c r="R1187">
        <v>245.9</v>
      </c>
    </row>
    <row r="1188" spans="1:18" x14ac:dyDescent="0.3">
      <c r="A1188" t="s">
        <v>2437</v>
      </c>
      <c r="B1188" t="s">
        <v>2438</v>
      </c>
      <c r="C1188" t="s">
        <v>31</v>
      </c>
      <c r="D1188" t="s">
        <v>32</v>
      </c>
      <c r="E1188" s="4">
        <v>45035</v>
      </c>
      <c r="F1188" t="s">
        <v>69</v>
      </c>
      <c r="G1188" t="s">
        <v>33</v>
      </c>
      <c r="H1188" t="s">
        <v>70</v>
      </c>
      <c r="I1188" t="s">
        <v>76</v>
      </c>
      <c r="J1188">
        <v>3</v>
      </c>
      <c r="K1188">
        <v>85</v>
      </c>
      <c r="L1188">
        <v>377.82</v>
      </c>
      <c r="M1188">
        <v>25698</v>
      </c>
      <c r="N1188" t="s">
        <v>61</v>
      </c>
      <c r="O1188" t="s">
        <v>27</v>
      </c>
      <c r="P1188" t="s">
        <v>45</v>
      </c>
      <c r="Q1188">
        <v>17</v>
      </c>
      <c r="R1188">
        <v>245.95</v>
      </c>
    </row>
    <row r="1189" spans="1:18" x14ac:dyDescent="0.3">
      <c r="A1189" t="s">
        <v>2439</v>
      </c>
      <c r="B1189" t="s">
        <v>2440</v>
      </c>
      <c r="C1189" t="s">
        <v>68</v>
      </c>
      <c r="D1189" t="s">
        <v>42</v>
      </c>
      <c r="E1189" s="4">
        <v>41055</v>
      </c>
      <c r="F1189" t="s">
        <v>43</v>
      </c>
      <c r="G1189" t="s">
        <v>49</v>
      </c>
      <c r="H1189" t="s">
        <v>70</v>
      </c>
      <c r="I1189" t="s">
        <v>76</v>
      </c>
      <c r="J1189">
        <v>4</v>
      </c>
      <c r="K1189">
        <v>683</v>
      </c>
      <c r="L1189">
        <v>419.83</v>
      </c>
      <c r="M1189">
        <v>8440</v>
      </c>
      <c r="N1189" t="s">
        <v>26</v>
      </c>
      <c r="O1189" t="s">
        <v>27</v>
      </c>
      <c r="P1189" t="s">
        <v>28</v>
      </c>
      <c r="Q1189">
        <v>40</v>
      </c>
      <c r="R1189">
        <v>91.9</v>
      </c>
    </row>
    <row r="1190" spans="1:18" x14ac:dyDescent="0.3">
      <c r="A1190" t="s">
        <v>2441</v>
      </c>
      <c r="B1190" t="s">
        <v>2442</v>
      </c>
      <c r="C1190" t="s">
        <v>68</v>
      </c>
      <c r="D1190" t="s">
        <v>59</v>
      </c>
      <c r="E1190" s="4">
        <v>40744</v>
      </c>
      <c r="F1190" t="s">
        <v>65</v>
      </c>
      <c r="G1190" t="s">
        <v>83</v>
      </c>
      <c r="H1190" t="s">
        <v>34</v>
      </c>
      <c r="I1190" t="s">
        <v>92</v>
      </c>
      <c r="J1190">
        <v>0</v>
      </c>
      <c r="K1190">
        <v>1068</v>
      </c>
      <c r="L1190">
        <v>2298.67</v>
      </c>
      <c r="M1190">
        <v>4050</v>
      </c>
      <c r="N1190" t="s">
        <v>26</v>
      </c>
      <c r="O1190" t="s">
        <v>56</v>
      </c>
      <c r="P1190" t="s">
        <v>45</v>
      </c>
      <c r="Q1190">
        <v>4</v>
      </c>
      <c r="R1190">
        <v>230.21</v>
      </c>
    </row>
    <row r="1191" spans="1:18" x14ac:dyDescent="0.3">
      <c r="A1191" t="s">
        <v>2443</v>
      </c>
      <c r="B1191" t="s">
        <v>2444</v>
      </c>
      <c r="C1191" t="s">
        <v>79</v>
      </c>
      <c r="D1191" t="s">
        <v>42</v>
      </c>
      <c r="E1191" s="4">
        <v>45490</v>
      </c>
      <c r="F1191" t="s">
        <v>22</v>
      </c>
      <c r="G1191" t="s">
        <v>33</v>
      </c>
      <c r="H1191" t="s">
        <v>50</v>
      </c>
      <c r="I1191" t="s">
        <v>92</v>
      </c>
      <c r="J1191">
        <v>1</v>
      </c>
      <c r="K1191">
        <v>46</v>
      </c>
      <c r="L1191">
        <v>2170.2399999999998</v>
      </c>
      <c r="M1191">
        <v>34721</v>
      </c>
      <c r="N1191" t="s">
        <v>26</v>
      </c>
      <c r="O1191" t="s">
        <v>37</v>
      </c>
      <c r="P1191" t="s">
        <v>25</v>
      </c>
      <c r="Q1191">
        <v>23</v>
      </c>
      <c r="R1191">
        <v>11.12</v>
      </c>
    </row>
    <row r="1192" spans="1:18" x14ac:dyDescent="0.3">
      <c r="A1192" t="s">
        <v>2445</v>
      </c>
      <c r="B1192" t="s">
        <v>2446</v>
      </c>
      <c r="C1192" t="s">
        <v>97</v>
      </c>
      <c r="D1192" t="s">
        <v>32</v>
      </c>
      <c r="E1192" s="4">
        <v>45759</v>
      </c>
      <c r="F1192" t="s">
        <v>48</v>
      </c>
      <c r="G1192" t="s">
        <v>33</v>
      </c>
      <c r="H1192" t="s">
        <v>50</v>
      </c>
      <c r="I1192" t="s">
        <v>34</v>
      </c>
      <c r="J1192">
        <v>4</v>
      </c>
      <c r="K1192">
        <v>1215</v>
      </c>
      <c r="L1192">
        <v>3814.13</v>
      </c>
      <c r="M1192">
        <v>43735</v>
      </c>
      <c r="N1192" t="s">
        <v>61</v>
      </c>
      <c r="O1192" t="s">
        <v>56</v>
      </c>
      <c r="P1192" t="s">
        <v>25</v>
      </c>
      <c r="Q1192">
        <v>7</v>
      </c>
      <c r="R1192">
        <v>169.89</v>
      </c>
    </row>
    <row r="1193" spans="1:18" x14ac:dyDescent="0.3">
      <c r="A1193" t="s">
        <v>2447</v>
      </c>
      <c r="B1193" t="s">
        <v>2448</v>
      </c>
      <c r="C1193" t="s">
        <v>20</v>
      </c>
      <c r="D1193" t="s">
        <v>59</v>
      </c>
      <c r="E1193" s="4">
        <v>41367</v>
      </c>
      <c r="F1193" t="s">
        <v>69</v>
      </c>
      <c r="G1193" t="s">
        <v>33</v>
      </c>
      <c r="H1193" t="s">
        <v>70</v>
      </c>
      <c r="I1193" t="s">
        <v>92</v>
      </c>
      <c r="J1193">
        <v>7</v>
      </c>
      <c r="K1193">
        <v>1215</v>
      </c>
      <c r="L1193">
        <v>1496.45</v>
      </c>
      <c r="M1193">
        <v>30907</v>
      </c>
      <c r="N1193" t="s">
        <v>26</v>
      </c>
      <c r="O1193" t="s">
        <v>56</v>
      </c>
      <c r="P1193" t="s">
        <v>25</v>
      </c>
      <c r="Q1193">
        <v>41</v>
      </c>
      <c r="R1193">
        <v>231.18</v>
      </c>
    </row>
    <row r="1194" spans="1:18" x14ac:dyDescent="0.3">
      <c r="A1194" t="s">
        <v>2449</v>
      </c>
      <c r="B1194" t="s">
        <v>2450</v>
      </c>
      <c r="C1194" t="s">
        <v>41</v>
      </c>
      <c r="D1194" t="s">
        <v>21</v>
      </c>
      <c r="E1194" s="4">
        <v>44466</v>
      </c>
      <c r="F1194" t="s">
        <v>43</v>
      </c>
      <c r="G1194" t="s">
        <v>102</v>
      </c>
      <c r="H1194" t="s">
        <v>24</v>
      </c>
      <c r="I1194" t="s">
        <v>35</v>
      </c>
      <c r="J1194">
        <v>0</v>
      </c>
      <c r="K1194">
        <v>1091</v>
      </c>
      <c r="L1194">
        <v>4655.75</v>
      </c>
      <c r="M1194">
        <v>25654</v>
      </c>
      <c r="N1194" t="s">
        <v>61</v>
      </c>
      <c r="O1194" t="s">
        <v>37</v>
      </c>
      <c r="P1194" t="s">
        <v>38</v>
      </c>
      <c r="Q1194">
        <v>34</v>
      </c>
      <c r="R1194">
        <v>219.37</v>
      </c>
    </row>
    <row r="1195" spans="1:18" x14ac:dyDescent="0.3">
      <c r="A1195" t="s">
        <v>2451</v>
      </c>
      <c r="B1195" t="s">
        <v>2452</v>
      </c>
      <c r="C1195" t="s">
        <v>116</v>
      </c>
      <c r="D1195" t="s">
        <v>82</v>
      </c>
      <c r="E1195" s="4">
        <v>40321</v>
      </c>
      <c r="F1195" t="s">
        <v>60</v>
      </c>
      <c r="G1195" t="s">
        <v>44</v>
      </c>
      <c r="H1195" t="s">
        <v>24</v>
      </c>
      <c r="I1195" t="s">
        <v>92</v>
      </c>
      <c r="J1195">
        <v>4</v>
      </c>
      <c r="K1195">
        <v>289</v>
      </c>
      <c r="L1195">
        <v>3063.67</v>
      </c>
      <c r="M1195">
        <v>978</v>
      </c>
      <c r="N1195" t="s">
        <v>61</v>
      </c>
      <c r="O1195" t="s">
        <v>37</v>
      </c>
      <c r="P1195" t="s">
        <v>52</v>
      </c>
      <c r="Q1195">
        <v>35</v>
      </c>
      <c r="R1195">
        <v>21.71</v>
      </c>
    </row>
    <row r="1196" spans="1:18" x14ac:dyDescent="0.3">
      <c r="A1196" t="s">
        <v>2453</v>
      </c>
      <c r="B1196" t="s">
        <v>2454</v>
      </c>
      <c r="C1196" t="s">
        <v>68</v>
      </c>
      <c r="D1196" t="s">
        <v>42</v>
      </c>
      <c r="E1196" s="4">
        <v>42306</v>
      </c>
      <c r="F1196" t="s">
        <v>48</v>
      </c>
      <c r="G1196" t="s">
        <v>49</v>
      </c>
      <c r="H1196" t="s">
        <v>34</v>
      </c>
      <c r="I1196" t="s">
        <v>92</v>
      </c>
      <c r="J1196">
        <v>0</v>
      </c>
      <c r="K1196">
        <v>1206</v>
      </c>
      <c r="L1196">
        <v>4215.57</v>
      </c>
      <c r="M1196">
        <v>9650</v>
      </c>
      <c r="N1196" t="s">
        <v>61</v>
      </c>
      <c r="O1196" t="s">
        <v>27</v>
      </c>
      <c r="P1196" t="s">
        <v>45</v>
      </c>
      <c r="Q1196">
        <v>9</v>
      </c>
      <c r="R1196">
        <v>70.89</v>
      </c>
    </row>
    <row r="1197" spans="1:18" x14ac:dyDescent="0.3">
      <c r="A1197" t="s">
        <v>2455</v>
      </c>
      <c r="B1197" t="s">
        <v>2456</v>
      </c>
      <c r="C1197" t="s">
        <v>79</v>
      </c>
      <c r="D1197" t="s">
        <v>59</v>
      </c>
      <c r="E1197" s="4">
        <v>45959</v>
      </c>
      <c r="F1197" t="s">
        <v>48</v>
      </c>
      <c r="G1197" t="s">
        <v>33</v>
      </c>
      <c r="H1197" t="s">
        <v>24</v>
      </c>
      <c r="I1197" t="s">
        <v>25</v>
      </c>
      <c r="J1197">
        <v>5</v>
      </c>
      <c r="K1197">
        <v>1064</v>
      </c>
      <c r="L1197">
        <v>4739.29</v>
      </c>
      <c r="M1197">
        <v>46710</v>
      </c>
      <c r="N1197" t="s">
        <v>26</v>
      </c>
      <c r="O1197" t="s">
        <v>62</v>
      </c>
      <c r="P1197" t="s">
        <v>51</v>
      </c>
      <c r="Q1197">
        <v>38</v>
      </c>
      <c r="R1197">
        <v>174.07</v>
      </c>
    </row>
    <row r="1198" spans="1:18" x14ac:dyDescent="0.3">
      <c r="A1198" t="s">
        <v>2457</v>
      </c>
      <c r="B1198" t="s">
        <v>2458</v>
      </c>
      <c r="C1198" t="s">
        <v>68</v>
      </c>
      <c r="D1198" t="s">
        <v>32</v>
      </c>
      <c r="E1198" s="4">
        <v>42964</v>
      </c>
      <c r="F1198" t="s">
        <v>69</v>
      </c>
      <c r="G1198" t="s">
        <v>49</v>
      </c>
      <c r="H1198" t="s">
        <v>34</v>
      </c>
      <c r="I1198" t="s">
        <v>25</v>
      </c>
      <c r="J1198">
        <v>7</v>
      </c>
      <c r="K1198">
        <v>301</v>
      </c>
      <c r="L1198">
        <v>4113.34</v>
      </c>
      <c r="M1198">
        <v>19937</v>
      </c>
      <c r="N1198" t="s">
        <v>36</v>
      </c>
      <c r="O1198" t="s">
        <v>27</v>
      </c>
      <c r="P1198" t="s">
        <v>52</v>
      </c>
      <c r="Q1198">
        <v>18</v>
      </c>
      <c r="R1198">
        <v>20.58</v>
      </c>
    </row>
    <row r="1199" spans="1:18" x14ac:dyDescent="0.3">
      <c r="A1199" t="s">
        <v>2459</v>
      </c>
      <c r="B1199" t="s">
        <v>2460</v>
      </c>
      <c r="C1199" t="s">
        <v>79</v>
      </c>
      <c r="D1199" t="s">
        <v>109</v>
      </c>
      <c r="E1199" s="4">
        <v>41873</v>
      </c>
      <c r="F1199" t="s">
        <v>65</v>
      </c>
      <c r="G1199" t="s">
        <v>33</v>
      </c>
      <c r="H1199" t="s">
        <v>50</v>
      </c>
      <c r="I1199" t="s">
        <v>92</v>
      </c>
      <c r="J1199">
        <v>5</v>
      </c>
      <c r="K1199">
        <v>255</v>
      </c>
      <c r="L1199">
        <v>4617.82</v>
      </c>
      <c r="M1199">
        <v>5537</v>
      </c>
      <c r="N1199" t="s">
        <v>36</v>
      </c>
      <c r="O1199" t="s">
        <v>62</v>
      </c>
      <c r="P1199" t="s">
        <v>51</v>
      </c>
      <c r="Q1199">
        <v>21</v>
      </c>
      <c r="R1199">
        <v>82.12</v>
      </c>
    </row>
    <row r="1200" spans="1:18" x14ac:dyDescent="0.3">
      <c r="A1200" t="s">
        <v>2461</v>
      </c>
      <c r="B1200" t="s">
        <v>2462</v>
      </c>
      <c r="C1200" t="s">
        <v>97</v>
      </c>
      <c r="D1200" t="s">
        <v>21</v>
      </c>
      <c r="E1200" s="4">
        <v>44742</v>
      </c>
      <c r="F1200" t="s">
        <v>60</v>
      </c>
      <c r="G1200" t="s">
        <v>44</v>
      </c>
      <c r="H1200" t="s">
        <v>70</v>
      </c>
      <c r="I1200" t="s">
        <v>92</v>
      </c>
      <c r="J1200">
        <v>8</v>
      </c>
      <c r="K1200">
        <v>1408</v>
      </c>
      <c r="L1200">
        <v>4671.7299999999996</v>
      </c>
      <c r="M1200">
        <v>38270</v>
      </c>
      <c r="N1200" t="s">
        <v>36</v>
      </c>
      <c r="O1200" t="s">
        <v>56</v>
      </c>
      <c r="P1200" t="s">
        <v>25</v>
      </c>
      <c r="Q1200">
        <v>12</v>
      </c>
      <c r="R1200">
        <v>237.11</v>
      </c>
    </row>
    <row r="1201" spans="1:18" x14ac:dyDescent="0.3">
      <c r="A1201" t="s">
        <v>2463</v>
      </c>
      <c r="B1201" t="s">
        <v>2464</v>
      </c>
      <c r="C1201" t="s">
        <v>68</v>
      </c>
      <c r="D1201" t="s">
        <v>21</v>
      </c>
      <c r="E1201" s="4">
        <v>42350</v>
      </c>
      <c r="F1201" t="s">
        <v>48</v>
      </c>
      <c r="G1201" t="s">
        <v>49</v>
      </c>
      <c r="H1201" t="s">
        <v>75</v>
      </c>
      <c r="I1201" t="s">
        <v>92</v>
      </c>
      <c r="J1201">
        <v>8</v>
      </c>
      <c r="K1201">
        <v>687</v>
      </c>
      <c r="L1201">
        <v>4385.28</v>
      </c>
      <c r="M1201">
        <v>26713</v>
      </c>
      <c r="N1201" t="s">
        <v>36</v>
      </c>
      <c r="O1201" t="s">
        <v>27</v>
      </c>
      <c r="P1201" t="s">
        <v>28</v>
      </c>
      <c r="Q1201">
        <v>29</v>
      </c>
      <c r="R1201">
        <v>45.16</v>
      </c>
    </row>
  </sheetData>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91249-31D6-45FB-975A-909BB995D7EA}">
  <dimension ref="A1:E126"/>
  <sheetViews>
    <sheetView workbookViewId="0">
      <selection activeCell="J122" sqref="J122"/>
    </sheetView>
  </sheetViews>
  <sheetFormatPr defaultRowHeight="14.4" x14ac:dyDescent="0.3"/>
  <cols>
    <col min="1" max="1" width="15.77734375" bestFit="1" customWidth="1"/>
    <col min="2" max="2" width="18.21875" bestFit="1" customWidth="1"/>
    <col min="3" max="3" width="11.77734375" bestFit="1" customWidth="1"/>
    <col min="4" max="4" width="21.6640625" bestFit="1" customWidth="1"/>
    <col min="5" max="5" width="10.88671875" bestFit="1" customWidth="1"/>
  </cols>
  <sheetData>
    <row r="1" spans="1:5" x14ac:dyDescent="0.3">
      <c r="A1" s="5" t="s">
        <v>2485</v>
      </c>
      <c r="B1" s="5" t="s">
        <v>2486</v>
      </c>
      <c r="C1" s="5" t="s">
        <v>2487</v>
      </c>
      <c r="D1" s="5" t="s">
        <v>2488</v>
      </c>
      <c r="E1" s="5" t="s">
        <v>2489</v>
      </c>
    </row>
    <row r="2" spans="1:5" x14ac:dyDescent="0.3">
      <c r="A2">
        <f>COUNTA((Table1[Mission_ID]))</f>
        <v>1200</v>
      </c>
      <c r="B2">
        <f>SUM(Table1[Budget_Million_USD])</f>
        <v>3108711.0399999931</v>
      </c>
      <c r="C2">
        <f>SUM((Table1[Payload_kg]))</f>
        <v>30544183</v>
      </c>
      <c r="D2">
        <f>AVERAGE(Table1[Mission_Duration_Days])</f>
        <v>740.28916666666669</v>
      </c>
      <c r="E2" s="6">
        <f>COUNTIF(Table1[Launch_Status],"Success")/COUNTA(Table1[Launch_Status])</f>
        <v>0.35583333333333333</v>
      </c>
    </row>
    <row r="6" spans="1:5" x14ac:dyDescent="0.3">
      <c r="A6" s="2" t="s">
        <v>2465</v>
      </c>
      <c r="B6" t="s">
        <v>2467</v>
      </c>
    </row>
    <row r="7" spans="1:5" x14ac:dyDescent="0.3">
      <c r="A7" s="3" t="s">
        <v>20</v>
      </c>
      <c r="B7">
        <v>158</v>
      </c>
    </row>
    <row r="8" spans="1:5" x14ac:dyDescent="0.3">
      <c r="A8" s="3" t="s">
        <v>31</v>
      </c>
      <c r="B8">
        <v>184</v>
      </c>
    </row>
    <row r="9" spans="1:5" x14ac:dyDescent="0.3">
      <c r="A9" s="3" t="s">
        <v>41</v>
      </c>
      <c r="B9">
        <v>165</v>
      </c>
    </row>
    <row r="10" spans="1:5" x14ac:dyDescent="0.3">
      <c r="A10" s="3" t="s">
        <v>79</v>
      </c>
      <c r="B10">
        <v>163</v>
      </c>
    </row>
    <row r="11" spans="1:5" x14ac:dyDescent="0.3">
      <c r="A11" s="3" t="s">
        <v>68</v>
      </c>
      <c r="B11">
        <v>186</v>
      </c>
    </row>
    <row r="12" spans="1:5" x14ac:dyDescent="0.3">
      <c r="A12" s="3" t="s">
        <v>116</v>
      </c>
      <c r="B12">
        <v>173</v>
      </c>
    </row>
    <row r="13" spans="1:5" x14ac:dyDescent="0.3">
      <c r="A13" s="3" t="s">
        <v>97</v>
      </c>
      <c r="B13">
        <v>171</v>
      </c>
    </row>
    <row r="14" spans="1:5" x14ac:dyDescent="0.3">
      <c r="A14" s="3" t="s">
        <v>2466</v>
      </c>
      <c r="B14">
        <v>1200</v>
      </c>
    </row>
    <row r="22" spans="1:2" x14ac:dyDescent="0.3">
      <c r="A22" s="2" t="s">
        <v>2465</v>
      </c>
      <c r="B22" t="s">
        <v>2490</v>
      </c>
    </row>
    <row r="23" spans="1:2" x14ac:dyDescent="0.3">
      <c r="A23" s="3" t="s">
        <v>20</v>
      </c>
      <c r="B23">
        <v>398899.14000000036</v>
      </c>
    </row>
    <row r="24" spans="1:2" x14ac:dyDescent="0.3">
      <c r="A24" s="3" t="s">
        <v>31</v>
      </c>
      <c r="B24">
        <v>487315.37000000034</v>
      </c>
    </row>
    <row r="25" spans="1:2" x14ac:dyDescent="0.3">
      <c r="A25" s="3" t="s">
        <v>41</v>
      </c>
      <c r="B25">
        <v>467690.05999999994</v>
      </c>
    </row>
    <row r="26" spans="1:2" x14ac:dyDescent="0.3">
      <c r="A26" s="3" t="s">
        <v>79</v>
      </c>
      <c r="B26">
        <v>435492.99999999988</v>
      </c>
    </row>
    <row r="27" spans="1:2" x14ac:dyDescent="0.3">
      <c r="A27" s="3" t="s">
        <v>68</v>
      </c>
      <c r="B27">
        <v>451148.61999999994</v>
      </c>
    </row>
    <row r="28" spans="1:2" x14ac:dyDescent="0.3">
      <c r="A28" s="3" t="s">
        <v>116</v>
      </c>
      <c r="B28">
        <v>432777.43999999994</v>
      </c>
    </row>
    <row r="29" spans="1:2" x14ac:dyDescent="0.3">
      <c r="A29" s="3" t="s">
        <v>97</v>
      </c>
      <c r="B29">
        <v>435387.40999999992</v>
      </c>
    </row>
    <row r="30" spans="1:2" x14ac:dyDescent="0.3">
      <c r="A30" s="3" t="s">
        <v>2466</v>
      </c>
      <c r="B30">
        <v>3108711.040000001</v>
      </c>
    </row>
    <row r="36" spans="1:2" x14ac:dyDescent="0.3">
      <c r="A36" s="2" t="s">
        <v>2465</v>
      </c>
      <c r="B36" t="s">
        <v>2491</v>
      </c>
    </row>
    <row r="37" spans="1:2" x14ac:dyDescent="0.3">
      <c r="A37" s="3" t="s">
        <v>61</v>
      </c>
      <c r="B37">
        <v>373</v>
      </c>
    </row>
    <row r="38" spans="1:2" x14ac:dyDescent="0.3">
      <c r="A38" s="3" t="s">
        <v>36</v>
      </c>
      <c r="B38">
        <v>400</v>
      </c>
    </row>
    <row r="39" spans="1:2" x14ac:dyDescent="0.3">
      <c r="A39" s="3" t="s">
        <v>26</v>
      </c>
      <c r="B39">
        <v>427</v>
      </c>
    </row>
    <row r="40" spans="1:2" x14ac:dyDescent="0.3">
      <c r="A40" s="3" t="s">
        <v>2466</v>
      </c>
      <c r="B40">
        <v>1200</v>
      </c>
    </row>
    <row r="52" spans="1:2" x14ac:dyDescent="0.3">
      <c r="A52" s="2" t="s">
        <v>2465</v>
      </c>
      <c r="B52" t="s">
        <v>2467</v>
      </c>
    </row>
    <row r="53" spans="1:2" x14ac:dyDescent="0.3">
      <c r="A53" s="3" t="s">
        <v>35</v>
      </c>
      <c r="B53">
        <v>186</v>
      </c>
    </row>
    <row r="54" spans="1:2" x14ac:dyDescent="0.3">
      <c r="A54" s="3" t="s">
        <v>25</v>
      </c>
      <c r="B54">
        <v>185</v>
      </c>
    </row>
    <row r="55" spans="1:2" x14ac:dyDescent="0.3">
      <c r="A55" s="3" t="s">
        <v>92</v>
      </c>
      <c r="B55">
        <v>201</v>
      </c>
    </row>
    <row r="56" spans="1:2" x14ac:dyDescent="0.3">
      <c r="A56" s="3" t="s">
        <v>51</v>
      </c>
      <c r="B56">
        <v>223</v>
      </c>
    </row>
    <row r="57" spans="1:2" x14ac:dyDescent="0.3">
      <c r="A57" s="3" t="s">
        <v>34</v>
      </c>
      <c r="B57">
        <v>199</v>
      </c>
    </row>
    <row r="58" spans="1:2" x14ac:dyDescent="0.3">
      <c r="A58" s="3" t="s">
        <v>76</v>
      </c>
      <c r="B58">
        <v>206</v>
      </c>
    </row>
    <row r="59" spans="1:2" x14ac:dyDescent="0.3">
      <c r="A59" s="3" t="s">
        <v>2466</v>
      </c>
      <c r="B59">
        <v>1200</v>
      </c>
    </row>
    <row r="68" spans="1:2" x14ac:dyDescent="0.3">
      <c r="A68" s="2" t="s">
        <v>2465</v>
      </c>
      <c r="B68" t="s">
        <v>2467</v>
      </c>
    </row>
    <row r="69" spans="1:2" x14ac:dyDescent="0.3">
      <c r="A69" s="3" t="s">
        <v>2468</v>
      </c>
      <c r="B69">
        <v>64</v>
      </c>
    </row>
    <row r="70" spans="1:2" x14ac:dyDescent="0.3">
      <c r="A70" s="3" t="s">
        <v>2469</v>
      </c>
      <c r="B70">
        <v>59</v>
      </c>
    </row>
    <row r="71" spans="1:2" x14ac:dyDescent="0.3">
      <c r="A71" s="3" t="s">
        <v>2470</v>
      </c>
      <c r="B71">
        <v>69</v>
      </c>
    </row>
    <row r="72" spans="1:2" x14ac:dyDescent="0.3">
      <c r="A72" s="3" t="s">
        <v>2471</v>
      </c>
      <c r="B72">
        <v>61</v>
      </c>
    </row>
    <row r="73" spans="1:2" x14ac:dyDescent="0.3">
      <c r="A73" s="3" t="s">
        <v>2472</v>
      </c>
      <c r="B73">
        <v>86</v>
      </c>
    </row>
    <row r="74" spans="1:2" x14ac:dyDescent="0.3">
      <c r="A74" s="3" t="s">
        <v>2473</v>
      </c>
      <c r="B74">
        <v>77</v>
      </c>
    </row>
    <row r="75" spans="1:2" x14ac:dyDescent="0.3">
      <c r="A75" s="3" t="s">
        <v>2474</v>
      </c>
      <c r="B75">
        <v>72</v>
      </c>
    </row>
    <row r="76" spans="1:2" x14ac:dyDescent="0.3">
      <c r="A76" s="3" t="s">
        <v>2475</v>
      </c>
      <c r="B76">
        <v>82</v>
      </c>
    </row>
    <row r="77" spans="1:2" x14ac:dyDescent="0.3">
      <c r="A77" s="3" t="s">
        <v>2476</v>
      </c>
      <c r="B77">
        <v>70</v>
      </c>
    </row>
    <row r="78" spans="1:2" x14ac:dyDescent="0.3">
      <c r="A78" s="3" t="s">
        <v>2477</v>
      </c>
      <c r="B78">
        <v>83</v>
      </c>
    </row>
    <row r="79" spans="1:2" x14ac:dyDescent="0.3">
      <c r="A79" s="3" t="s">
        <v>2478</v>
      </c>
      <c r="B79">
        <v>69</v>
      </c>
    </row>
    <row r="80" spans="1:2" x14ac:dyDescent="0.3">
      <c r="A80" s="3" t="s">
        <v>2479</v>
      </c>
      <c r="B80">
        <v>74</v>
      </c>
    </row>
    <row r="81" spans="1:2" x14ac:dyDescent="0.3">
      <c r="A81" s="3" t="s">
        <v>2480</v>
      </c>
      <c r="B81">
        <v>75</v>
      </c>
    </row>
    <row r="82" spans="1:2" x14ac:dyDescent="0.3">
      <c r="A82" s="3" t="s">
        <v>2481</v>
      </c>
      <c r="B82">
        <v>81</v>
      </c>
    </row>
    <row r="83" spans="1:2" x14ac:dyDescent="0.3">
      <c r="A83" s="3" t="s">
        <v>2482</v>
      </c>
      <c r="B83">
        <v>64</v>
      </c>
    </row>
    <row r="84" spans="1:2" x14ac:dyDescent="0.3">
      <c r="A84" s="3" t="s">
        <v>2483</v>
      </c>
      <c r="B84">
        <v>78</v>
      </c>
    </row>
    <row r="85" spans="1:2" x14ac:dyDescent="0.3">
      <c r="A85" s="3" t="s">
        <v>2484</v>
      </c>
      <c r="B85">
        <v>36</v>
      </c>
    </row>
    <row r="86" spans="1:2" x14ac:dyDescent="0.3">
      <c r="A86" s="3" t="s">
        <v>2466</v>
      </c>
      <c r="B86">
        <v>1200</v>
      </c>
    </row>
    <row r="88" spans="1:2" x14ac:dyDescent="0.3">
      <c r="A88" s="2" t="s">
        <v>2465</v>
      </c>
      <c r="B88" t="s">
        <v>2467</v>
      </c>
    </row>
    <row r="89" spans="1:2" x14ac:dyDescent="0.3">
      <c r="A89" s="3" t="s">
        <v>55</v>
      </c>
      <c r="B89">
        <v>198</v>
      </c>
    </row>
    <row r="90" spans="1:2" x14ac:dyDescent="0.3">
      <c r="A90" s="3" t="s">
        <v>50</v>
      </c>
      <c r="B90">
        <v>213</v>
      </c>
    </row>
    <row r="91" spans="1:2" x14ac:dyDescent="0.3">
      <c r="A91" s="3" t="s">
        <v>24</v>
      </c>
      <c r="B91">
        <v>223</v>
      </c>
    </row>
    <row r="92" spans="1:2" x14ac:dyDescent="0.3">
      <c r="A92" s="3" t="s">
        <v>75</v>
      </c>
      <c r="B92">
        <v>188</v>
      </c>
    </row>
    <row r="93" spans="1:2" x14ac:dyDescent="0.3">
      <c r="A93" s="3" t="s">
        <v>34</v>
      </c>
      <c r="B93">
        <v>188</v>
      </c>
    </row>
    <row r="94" spans="1:2" x14ac:dyDescent="0.3">
      <c r="A94" s="3" t="s">
        <v>70</v>
      </c>
      <c r="B94">
        <v>190</v>
      </c>
    </row>
    <row r="95" spans="1:2" x14ac:dyDescent="0.3">
      <c r="A95" s="3" t="s">
        <v>2466</v>
      </c>
      <c r="B95">
        <v>1200</v>
      </c>
    </row>
    <row r="102" spans="1:2" x14ac:dyDescent="0.3">
      <c r="A102" s="2" t="s">
        <v>2465</v>
      </c>
      <c r="B102" t="s">
        <v>2467</v>
      </c>
    </row>
    <row r="103" spans="1:2" x14ac:dyDescent="0.3">
      <c r="A103" s="3" t="s">
        <v>59</v>
      </c>
      <c r="B103">
        <v>208</v>
      </c>
    </row>
    <row r="104" spans="1:2" x14ac:dyDescent="0.3">
      <c r="A104" s="3" t="s">
        <v>109</v>
      </c>
      <c r="B104">
        <v>208</v>
      </c>
    </row>
    <row r="105" spans="1:2" x14ac:dyDescent="0.3">
      <c r="A105" s="3" t="s">
        <v>32</v>
      </c>
      <c r="B105">
        <v>194</v>
      </c>
    </row>
    <row r="106" spans="1:2" x14ac:dyDescent="0.3">
      <c r="A106" s="3" t="s">
        <v>82</v>
      </c>
      <c r="B106">
        <v>195</v>
      </c>
    </row>
    <row r="107" spans="1:2" x14ac:dyDescent="0.3">
      <c r="A107" s="3" t="s">
        <v>21</v>
      </c>
      <c r="B107">
        <v>198</v>
      </c>
    </row>
    <row r="108" spans="1:2" x14ac:dyDescent="0.3">
      <c r="A108" s="3" t="s">
        <v>42</v>
      </c>
      <c r="B108">
        <v>197</v>
      </c>
    </row>
    <row r="109" spans="1:2" x14ac:dyDescent="0.3">
      <c r="A109" s="3" t="s">
        <v>2466</v>
      </c>
      <c r="B109">
        <v>1200</v>
      </c>
    </row>
    <row r="118" spans="1:2" x14ac:dyDescent="0.3">
      <c r="A118" s="2" t="s">
        <v>2465</v>
      </c>
      <c r="B118" t="s">
        <v>2493</v>
      </c>
    </row>
    <row r="119" spans="1:2" x14ac:dyDescent="0.3">
      <c r="A119" s="3" t="s">
        <v>20</v>
      </c>
      <c r="B119">
        <v>736.66455696202536</v>
      </c>
    </row>
    <row r="120" spans="1:2" x14ac:dyDescent="0.3">
      <c r="A120" s="3" t="s">
        <v>31</v>
      </c>
      <c r="B120">
        <v>727.60869565217388</v>
      </c>
    </row>
    <row r="121" spans="1:2" x14ac:dyDescent="0.3">
      <c r="A121" s="3" t="s">
        <v>41</v>
      </c>
      <c r="B121">
        <v>741.26060606060605</v>
      </c>
    </row>
    <row r="122" spans="1:2" x14ac:dyDescent="0.3">
      <c r="A122" s="3" t="s">
        <v>79</v>
      </c>
      <c r="B122">
        <v>748.7361963190184</v>
      </c>
    </row>
    <row r="123" spans="1:2" x14ac:dyDescent="0.3">
      <c r="A123" s="3" t="s">
        <v>68</v>
      </c>
      <c r="B123">
        <v>728.44623655913983</v>
      </c>
    </row>
    <row r="124" spans="1:2" x14ac:dyDescent="0.3">
      <c r="A124" s="3" t="s">
        <v>116</v>
      </c>
      <c r="B124">
        <v>748.83815028901734</v>
      </c>
    </row>
    <row r="125" spans="1:2" x14ac:dyDescent="0.3">
      <c r="A125" s="3" t="s">
        <v>97</v>
      </c>
      <c r="B125">
        <v>752.52631578947364</v>
      </c>
    </row>
    <row r="126" spans="1:2" x14ac:dyDescent="0.3">
      <c r="A126" s="3" t="s">
        <v>2466</v>
      </c>
      <c r="B126">
        <v>740.28916666666669</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3B97-BAEF-464B-AA16-CCF10079CADD}">
  <dimension ref="D1:D56"/>
  <sheetViews>
    <sheetView tabSelected="1" workbookViewId="0">
      <selection activeCell="L56" sqref="L56"/>
    </sheetView>
  </sheetViews>
  <sheetFormatPr defaultRowHeight="14.4" x14ac:dyDescent="0.3"/>
  <sheetData>
    <row r="1" spans="4:4" x14ac:dyDescent="0.3">
      <c r="D1" t="s">
        <v>2492</v>
      </c>
    </row>
    <row r="56" customFormat="1"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Space_Missions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SONALI</cp:lastModifiedBy>
  <dcterms:created xsi:type="dcterms:W3CDTF">2026-06-15T15:19:28Z</dcterms:created>
  <dcterms:modified xsi:type="dcterms:W3CDTF">2026-07-04T04:13:40Z</dcterms:modified>
</cp:coreProperties>
</file>